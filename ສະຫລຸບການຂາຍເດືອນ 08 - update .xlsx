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tp030/Desktop/"/>
    </mc:Choice>
  </mc:AlternateContent>
  <xr:revisionPtr revIDLastSave="0" documentId="13_ncr:1_{BEBC6705-3C9A-814F-B243-4504BBD7EFB9}" xr6:coauthVersionLast="38" xr6:coauthVersionMax="47" xr10:uidLastSave="{00000000-0000-0000-0000-000000000000}"/>
  <bookViews>
    <workbookView xWindow="0" yWindow="0" windowWidth="38400" windowHeight="21600" xr2:uid="{0AD39B8E-352B-EA4C-8703-56EE51DE3691}"/>
  </bookViews>
  <sheets>
    <sheet name="Total ນ້ຳມັນກາຊວນ +ແອັດຊັງ91 " sheetId="11" r:id="rId1"/>
    <sheet name="Total ນ້ຳມັນກາຊວນ NONTAX" sheetId="9" r:id="rId2"/>
    <sheet name="Total ນ້ຳມັນກາຊວນ ຫົງສາ" sheetId="10" r:id="rId3"/>
    <sheet name="Total ຍອດ​ຂາຍນ້ຳ​ມັນ​ເຄື່ອງ." sheetId="4" r:id="rId4"/>
    <sheet name="Total ນ້ຳມັນກາຊວນ +ແອັດຊັງ9 (2)" sheetId="12" r:id="rId5"/>
  </sheets>
  <externalReferences>
    <externalReference r:id="rId6"/>
  </externalReferences>
  <definedNames>
    <definedName name="_xlnm._FilterDatabase" localSheetId="3" hidden="1">'Total ຍອດ​ຂາຍນ້ຳ​ມັນ​ເຄື່ອງ.'!$B$16:$T$68</definedName>
    <definedName name="_xlnm._FilterDatabase" localSheetId="4" hidden="1">'Total ນ້ຳມັນກາຊວນ +ແອັດຊັງ9 (2)'!$A$9:$X$413</definedName>
    <definedName name="_xlnm._FilterDatabase" localSheetId="0" hidden="1">'Total ນ້ຳມັນກາຊວນ +ແອັດຊັງ91 '!$A$9:$X$90</definedName>
    <definedName name="_xlnm._FilterDatabase" localSheetId="1" hidden="1">'Total ນ້ຳມັນກາຊວນ NONTAX'!$A$9:$V$13</definedName>
    <definedName name="_xlnm._FilterDatabase" localSheetId="2" hidden="1">'Total ນ້ຳມັນກາຊວນ ຫົງສາ'!$A$9:$X$177</definedName>
    <definedName name="a" localSheetId="3">#REF!</definedName>
    <definedName name="a" localSheetId="4">#REF!</definedName>
    <definedName name="a" localSheetId="0">#REF!</definedName>
    <definedName name="a" localSheetId="1">#REF!</definedName>
    <definedName name="a" localSheetId="2">#REF!</definedName>
    <definedName name="a">#REF!</definedName>
    <definedName name="abc" localSheetId="3">#REF!</definedName>
    <definedName name="abc" localSheetId="4">#REF!</definedName>
    <definedName name="abc" localSheetId="0">#REF!</definedName>
    <definedName name="abc" localSheetId="1">#REF!</definedName>
    <definedName name="abc" localSheetId="2">#REF!</definedName>
    <definedName name="abc">#REF!</definedName>
    <definedName name="asd" localSheetId="3">#REF!</definedName>
    <definedName name="asd" localSheetId="4">#REF!</definedName>
    <definedName name="asd" localSheetId="0">#REF!</definedName>
    <definedName name="asd" localSheetId="1">#REF!</definedName>
    <definedName name="asd" localSheetId="2">#REF!</definedName>
    <definedName name="asd">#REF!</definedName>
    <definedName name="d" localSheetId="3">#REF!</definedName>
    <definedName name="d" localSheetId="4">#REF!</definedName>
    <definedName name="d" localSheetId="0">#REF!</definedName>
    <definedName name="d" localSheetId="1">#REF!</definedName>
    <definedName name="d" localSheetId="2">#REF!</definedName>
    <definedName name="d">#REF!</definedName>
    <definedName name="f" localSheetId="3">#REF!</definedName>
    <definedName name="f" localSheetId="4">#REF!</definedName>
    <definedName name="f" localSheetId="0">#REF!</definedName>
    <definedName name="f" localSheetId="1">#REF!</definedName>
    <definedName name="f" localSheetId="2">#REF!</definedName>
    <definedName name="f">#REF!</definedName>
    <definedName name="InvoiceNoDetails">"InvoiceDetails[Invoice No]"</definedName>
    <definedName name="k" localSheetId="3">#REF!</definedName>
    <definedName name="k" localSheetId="4">#REF!</definedName>
    <definedName name="k" localSheetId="0">#REF!</definedName>
    <definedName name="k" localSheetId="1">#REF!</definedName>
    <definedName name="k" localSheetId="2">#REF!</definedName>
    <definedName name="k">#REF!</definedName>
    <definedName name="kk" localSheetId="3">#REF!</definedName>
    <definedName name="kk" localSheetId="4">#REF!</definedName>
    <definedName name="kk" localSheetId="0">#REF!</definedName>
    <definedName name="kk" localSheetId="1">#REF!</definedName>
    <definedName name="kk" localSheetId="2">#REF!</definedName>
    <definedName name="kk">#REF!</definedName>
    <definedName name="l" localSheetId="3">#REF!</definedName>
    <definedName name="l" localSheetId="4">#REF!</definedName>
    <definedName name="l" localSheetId="0">#REF!</definedName>
    <definedName name="l" localSheetId="1">#REF!</definedName>
    <definedName name="l" localSheetId="2">#REF!</definedName>
    <definedName name="l">#REF!</definedName>
    <definedName name="ll" localSheetId="3">#REF!</definedName>
    <definedName name="ll" localSheetId="4">#REF!</definedName>
    <definedName name="ll" localSheetId="0">#REF!</definedName>
    <definedName name="ll" localSheetId="1">#REF!</definedName>
    <definedName name="ll" localSheetId="2">#REF!</definedName>
    <definedName name="ll">#REF!</definedName>
    <definedName name="o" localSheetId="3">#REF!</definedName>
    <definedName name="o" localSheetId="4">#REF!</definedName>
    <definedName name="o" localSheetId="0">#REF!</definedName>
    <definedName name="o" localSheetId="1">#REF!</definedName>
    <definedName name="o" localSheetId="2">#REF!</definedName>
    <definedName name="o">#REF!</definedName>
    <definedName name="p" localSheetId="3">#REF!</definedName>
    <definedName name="p" localSheetId="4">#REF!</definedName>
    <definedName name="p" localSheetId="0">#REF!</definedName>
    <definedName name="p" localSheetId="1">#REF!</definedName>
    <definedName name="p" localSheetId="2">#REF!</definedName>
    <definedName name="p">#REF!</definedName>
    <definedName name="partner_id" localSheetId="3">'Total ຍອດ​ຂາຍນ້ຳ​ມັນ​ເຄື່ອງ.'!#REF!</definedName>
    <definedName name="partner_id" localSheetId="4">'Total ນ້ຳມັນກາຊວນ +ແອັດຊັງ9 (2)'!#REF!</definedName>
    <definedName name="partner_id" localSheetId="0">'Total ນ້ຳມັນກາຊວນ +ແອັດຊັງ91 '!#REF!</definedName>
    <definedName name="partner_id" localSheetId="1">'Total ນ້ຳມັນກາຊວນ NONTAX'!#REF!</definedName>
    <definedName name="partner_id" localSheetId="2">'Total ນ້ຳມັນກາຊວນ ຫົງສາ'!#REF!</definedName>
    <definedName name="partner_invoice_id" localSheetId="4">'Total ນ້ຳມັນກາຊວນ +ແອັດຊັງ9 (2)'!$B$22</definedName>
    <definedName name="partner_invoice_id" localSheetId="0">'Total ນ້ຳມັນກາຊວນ +ແອັດຊັງ91 '!#REF!</definedName>
    <definedName name="_xlnm.Print_Area" localSheetId="3">'Total ຍອດ​ຂາຍນ້ຳ​ມັນ​ເຄື່ອງ.'!$A$1:$T$104</definedName>
    <definedName name="_xlnm.Print_Area" localSheetId="4">'Total ນ້ຳມັນກາຊວນ +ແອັດຊັງ9 (2)'!$A$1:$X$460</definedName>
    <definedName name="_xlnm.Print_Area" localSheetId="0">'Total ນ້ຳມັນກາຊວນ +ແອັດຊັງ91 '!$A$1:$X$136</definedName>
    <definedName name="_xlnm.Print_Area" localSheetId="1">'Total ນ້ຳມັນກາຊວນ NONTAX'!$A$1:$V$60</definedName>
    <definedName name="_xlnm.Print_Area" localSheetId="2">'Total ນ້ຳມັນກາຊວນ ຫົງສາ'!$A$1:$X$224</definedName>
    <definedName name="q" localSheetId="3">#REF!</definedName>
    <definedName name="q" localSheetId="4">#REF!</definedName>
    <definedName name="q" localSheetId="0">#REF!</definedName>
    <definedName name="q" localSheetId="1">#REF!</definedName>
    <definedName name="q" localSheetId="2">#REF!</definedName>
    <definedName name="q">#REF!</definedName>
    <definedName name="rngInvoice" localSheetId="3">#REF!</definedName>
    <definedName name="rngInvoice" localSheetId="4">#REF!</definedName>
    <definedName name="rngInvoice" localSheetId="0">#REF!</definedName>
    <definedName name="rngInvoice" localSheetId="1">#REF!</definedName>
    <definedName name="rngInvoice" localSheetId="2">#REF!</definedName>
    <definedName name="rngInvoice">#REF!</definedName>
    <definedName name="s" localSheetId="3">#REF!</definedName>
    <definedName name="s" localSheetId="4">#REF!</definedName>
    <definedName name="s" localSheetId="0">#REF!</definedName>
    <definedName name="s" localSheetId="1">#REF!</definedName>
    <definedName name="s" localSheetId="2">#REF!</definedName>
    <definedName name="s">#REF!</definedName>
    <definedName name="t" localSheetId="3">#REF!</definedName>
    <definedName name="t" localSheetId="4">#REF!</definedName>
    <definedName name="t" localSheetId="0">#REF!</definedName>
    <definedName name="t" localSheetId="1">#REF!</definedName>
    <definedName name="t" localSheetId="2">#REF!</definedName>
    <definedName name="t">#REF!</definedName>
    <definedName name="ກ" localSheetId="3">#REF!</definedName>
    <definedName name="ກ" localSheetId="4">#REF!</definedName>
    <definedName name="ກ" localSheetId="0">#REF!</definedName>
    <definedName name="ກ" localSheetId="1">#REF!</definedName>
    <definedName name="ກ" localSheetId="2">#REF!</definedName>
    <definedName name="ກ">#REF!</definedName>
    <definedName name="ກ1" localSheetId="3">#REF!</definedName>
    <definedName name="ກ1" localSheetId="4">#REF!</definedName>
    <definedName name="ກ1" localSheetId="0">#REF!</definedName>
    <definedName name="ກ1" localSheetId="1">#REF!</definedName>
    <definedName name="ກ1" localSheetId="2">#REF!</definedName>
    <definedName name="ກ1">#REF!</definedName>
    <definedName name="ງ" localSheetId="3">#REF!</definedName>
    <definedName name="ງ" localSheetId="4">#REF!</definedName>
    <definedName name="ງ" localSheetId="0">#REF!</definedName>
    <definedName name="ງ" localSheetId="1">#REF!</definedName>
    <definedName name="ງ" localSheetId="2">#REF!</definedName>
    <definedName name="ງ">#REF!</definedName>
    <definedName name="ສ1" localSheetId="3">#REF!</definedName>
    <definedName name="ສ1" localSheetId="4">#REF!</definedName>
    <definedName name="ສ1" localSheetId="0">#REF!</definedName>
    <definedName name="ສ1" localSheetId="1">#REF!</definedName>
    <definedName name="ສ1" localSheetId="2">#REF!</definedName>
    <definedName name="ສ1">#REF!</definedName>
    <definedName name="ຍ" localSheetId="3">#REF!</definedName>
    <definedName name="ຍ" localSheetId="4">#REF!</definedName>
    <definedName name="ຍ" localSheetId="0">#REF!</definedName>
    <definedName name="ຍ" localSheetId="1">#REF!</definedName>
    <definedName name="ຍ" localSheetId="2">#REF!</definedName>
    <definedName name="ຍ">#REF!</definedName>
    <definedName name="ປ" localSheetId="3">#REF!</definedName>
    <definedName name="ປ" localSheetId="4">#REF!</definedName>
    <definedName name="ປ" localSheetId="0">#REF!</definedName>
    <definedName name="ປ" localSheetId="1">#REF!</definedName>
    <definedName name="ປ" localSheetId="2">#REF!</definedName>
    <definedName name="ປ">#REF!</definedName>
    <definedName name="ລ" localSheetId="3">#REF!</definedName>
    <definedName name="ລ" localSheetId="4">#REF!</definedName>
    <definedName name="ລ" localSheetId="0">#REF!</definedName>
    <definedName name="ລ" localSheetId="1">#REF!</definedName>
    <definedName name="ລ" localSheetId="2">#REF!</definedName>
    <definedName name="ລ">#REF!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66" i="11" l="1"/>
  <c r="R66" i="11"/>
  <c r="U66" i="11"/>
  <c r="T41" i="11"/>
  <c r="U41" i="11" s="1"/>
  <c r="T38" i="11"/>
  <c r="R38" i="11" s="1"/>
  <c r="T39" i="11"/>
  <c r="R39" i="11" s="1"/>
  <c r="T29" i="11"/>
  <c r="U29" i="11" s="1"/>
  <c r="T22" i="11"/>
  <c r="R22" i="11" s="1"/>
  <c r="T12" i="11"/>
  <c r="T15" i="11"/>
  <c r="AA11" i="11"/>
  <c r="U38" i="11" l="1"/>
  <c r="R41" i="11"/>
  <c r="U39" i="11"/>
  <c r="R29" i="11"/>
  <c r="U22" i="11"/>
  <c r="T11" i="11"/>
  <c r="R11" i="11" s="1"/>
  <c r="R12" i="11"/>
  <c r="R15" i="11"/>
  <c r="T13" i="11"/>
  <c r="R13" i="11" s="1"/>
  <c r="T14" i="11"/>
  <c r="R14" i="11" s="1"/>
  <c r="T16" i="11"/>
  <c r="R16" i="11" s="1"/>
  <c r="T17" i="11"/>
  <c r="R17" i="11" s="1"/>
  <c r="T18" i="11"/>
  <c r="R18" i="11" s="1"/>
  <c r="T19" i="11"/>
  <c r="R19" i="11" s="1"/>
  <c r="T20" i="11"/>
  <c r="R20" i="11" s="1"/>
  <c r="T21" i="11"/>
  <c r="R21" i="11" s="1"/>
  <c r="T23" i="11"/>
  <c r="R23" i="11" s="1"/>
  <c r="T24" i="11"/>
  <c r="R24" i="11" s="1"/>
  <c r="T25" i="11"/>
  <c r="R25" i="11" s="1"/>
  <c r="T26" i="11"/>
  <c r="R26" i="11" s="1"/>
  <c r="T27" i="11"/>
  <c r="R27" i="11" s="1"/>
  <c r="T28" i="11"/>
  <c r="R28" i="11" s="1"/>
  <c r="T30" i="11"/>
  <c r="R30" i="11" s="1"/>
  <c r="T31" i="11"/>
  <c r="R31" i="11" s="1"/>
  <c r="T32" i="11"/>
  <c r="R32" i="11" s="1"/>
  <c r="T33" i="11"/>
  <c r="R33" i="11" s="1"/>
  <c r="T34" i="11"/>
  <c r="R34" i="11" s="1"/>
  <c r="T35" i="11"/>
  <c r="R35" i="11" s="1"/>
  <c r="T36" i="11"/>
  <c r="R36" i="11" s="1"/>
  <c r="T37" i="11"/>
  <c r="R37" i="11" s="1"/>
  <c r="T40" i="11"/>
  <c r="R40" i="11" s="1"/>
  <c r="T42" i="11"/>
  <c r="R42" i="11" s="1"/>
  <c r="T43" i="11"/>
  <c r="R43" i="11" s="1"/>
  <c r="T44" i="11"/>
  <c r="R44" i="11" s="1"/>
  <c r="T45" i="11"/>
  <c r="R45" i="11" s="1"/>
  <c r="T46" i="11"/>
  <c r="R46" i="11" s="1"/>
  <c r="T47" i="11"/>
  <c r="R47" i="11" s="1"/>
  <c r="T48" i="11"/>
  <c r="R48" i="11" s="1"/>
  <c r="T49" i="11"/>
  <c r="R49" i="11" s="1"/>
  <c r="T50" i="11"/>
  <c r="R50" i="11" s="1"/>
  <c r="T51" i="11"/>
  <c r="R51" i="11" s="1"/>
  <c r="T52" i="11"/>
  <c r="R52" i="11" s="1"/>
  <c r="T53" i="11"/>
  <c r="R53" i="11" s="1"/>
  <c r="T54" i="11"/>
  <c r="R54" i="11" s="1"/>
  <c r="T55" i="11"/>
  <c r="R55" i="11" s="1"/>
  <c r="T56" i="11"/>
  <c r="R56" i="11" s="1"/>
  <c r="T57" i="11"/>
  <c r="R57" i="11" s="1"/>
  <c r="T58" i="11"/>
  <c r="R58" i="11" s="1"/>
  <c r="T59" i="11"/>
  <c r="R59" i="11" s="1"/>
  <c r="T60" i="11"/>
  <c r="R60" i="11" s="1"/>
  <c r="T61" i="11"/>
  <c r="R61" i="11" s="1"/>
  <c r="T62" i="11"/>
  <c r="R62" i="11" s="1"/>
  <c r="T63" i="11"/>
  <c r="R63" i="11" s="1"/>
  <c r="T64" i="11"/>
  <c r="R64" i="11" s="1"/>
  <c r="T65" i="11"/>
  <c r="R65" i="11" s="1"/>
  <c r="T67" i="11"/>
  <c r="R67" i="11" s="1"/>
  <c r="T68" i="11"/>
  <c r="R68" i="11" s="1"/>
  <c r="T69" i="11"/>
  <c r="R69" i="11" s="1"/>
  <c r="T70" i="11"/>
  <c r="R70" i="11" s="1"/>
  <c r="T71" i="11"/>
  <c r="R71" i="11" s="1"/>
  <c r="T72" i="11"/>
  <c r="R72" i="11" s="1"/>
  <c r="T73" i="11"/>
  <c r="R73" i="11" s="1"/>
  <c r="T74" i="11"/>
  <c r="R74" i="11" s="1"/>
  <c r="T75" i="11"/>
  <c r="R75" i="11" s="1"/>
  <c r="T76" i="11"/>
  <c r="R76" i="11" s="1"/>
  <c r="T77" i="11"/>
  <c r="R77" i="11" s="1"/>
  <c r="T78" i="11"/>
  <c r="R78" i="11" s="1"/>
  <c r="T79" i="11"/>
  <c r="R79" i="11" s="1"/>
  <c r="T80" i="11"/>
  <c r="R80" i="11" s="1"/>
  <c r="T81" i="11"/>
  <c r="R81" i="11" s="1"/>
  <c r="T82" i="11"/>
  <c r="R82" i="11" s="1"/>
  <c r="T83" i="11"/>
  <c r="R83" i="11" s="1"/>
  <c r="T84" i="11"/>
  <c r="R84" i="11" s="1"/>
  <c r="T85" i="11"/>
  <c r="R85" i="11" s="1"/>
  <c r="T86" i="11"/>
  <c r="R86" i="11" s="1"/>
  <c r="T87" i="11"/>
  <c r="R87" i="11" s="1"/>
  <c r="T88" i="11"/>
  <c r="R88" i="11" s="1"/>
  <c r="T89" i="11"/>
  <c r="R89" i="11" s="1"/>
  <c r="AA12" i="11"/>
  <c r="X90" i="11"/>
  <c r="W90" i="11"/>
  <c r="V90" i="11"/>
  <c r="N90" i="11"/>
  <c r="U11" i="11" l="1"/>
  <c r="N414" i="12"/>
  <c r="T413" i="12"/>
  <c r="U413" i="12" s="1"/>
  <c r="T412" i="12"/>
  <c r="V412" i="12" s="1"/>
  <c r="T411" i="12"/>
  <c r="T410" i="12"/>
  <c r="V410" i="12" s="1"/>
  <c r="W410" i="12" s="1"/>
  <c r="T409" i="12"/>
  <c r="U409" i="12" s="1"/>
  <c r="T408" i="12"/>
  <c r="T407" i="12"/>
  <c r="T406" i="12"/>
  <c r="T405" i="12"/>
  <c r="U405" i="12" s="1"/>
  <c r="T404" i="12"/>
  <c r="U404" i="12" s="1"/>
  <c r="T403" i="12"/>
  <c r="T402" i="12"/>
  <c r="V402" i="12" s="1"/>
  <c r="W402" i="12" s="1"/>
  <c r="T401" i="12"/>
  <c r="V401" i="12" s="1"/>
  <c r="T400" i="12"/>
  <c r="T399" i="12"/>
  <c r="U399" i="12" s="1"/>
  <c r="T398" i="12"/>
  <c r="U398" i="12" s="1"/>
  <c r="T397" i="12"/>
  <c r="U397" i="12" s="1"/>
  <c r="T396" i="12"/>
  <c r="U396" i="12" s="1"/>
  <c r="T395" i="12"/>
  <c r="V395" i="12" s="1"/>
  <c r="W394" i="12"/>
  <c r="T394" i="12"/>
  <c r="V394" i="12" s="1"/>
  <c r="T393" i="12"/>
  <c r="V393" i="12" s="1"/>
  <c r="T392" i="12"/>
  <c r="T391" i="12"/>
  <c r="V390" i="12"/>
  <c r="U390" i="12"/>
  <c r="T390" i="12"/>
  <c r="T389" i="12"/>
  <c r="U389" i="12" s="1"/>
  <c r="T388" i="12"/>
  <c r="V388" i="12" s="1"/>
  <c r="T387" i="12"/>
  <c r="T386" i="12"/>
  <c r="V386" i="12" s="1"/>
  <c r="W386" i="12" s="1"/>
  <c r="T385" i="12"/>
  <c r="V385" i="12" s="1"/>
  <c r="T384" i="12"/>
  <c r="T383" i="12"/>
  <c r="U383" i="12" s="1"/>
  <c r="T382" i="12"/>
  <c r="U382" i="12" s="1"/>
  <c r="T381" i="12"/>
  <c r="U381" i="12" s="1"/>
  <c r="T380" i="12"/>
  <c r="V380" i="12" s="1"/>
  <c r="W380" i="12" s="1"/>
  <c r="U379" i="12"/>
  <c r="T379" i="12"/>
  <c r="V379" i="12" s="1"/>
  <c r="W379" i="12" s="1"/>
  <c r="U378" i="12"/>
  <c r="T378" i="12"/>
  <c r="V378" i="12" s="1"/>
  <c r="W378" i="12" s="1"/>
  <c r="T377" i="12"/>
  <c r="U377" i="12" s="1"/>
  <c r="T376" i="12"/>
  <c r="T375" i="12"/>
  <c r="U375" i="12" s="1"/>
  <c r="T374" i="12"/>
  <c r="V374" i="12" s="1"/>
  <c r="V373" i="12"/>
  <c r="W373" i="12" s="1"/>
  <c r="T373" i="12"/>
  <c r="U373" i="12" s="1"/>
  <c r="T372" i="12"/>
  <c r="V372" i="12" s="1"/>
  <c r="W372" i="12" s="1"/>
  <c r="T371" i="12"/>
  <c r="T370" i="12"/>
  <c r="V370" i="12" s="1"/>
  <c r="W370" i="12" s="1"/>
  <c r="T369" i="12"/>
  <c r="V369" i="12" s="1"/>
  <c r="W369" i="12" s="1"/>
  <c r="T368" i="12"/>
  <c r="T367" i="12"/>
  <c r="U367" i="12" s="1"/>
  <c r="V366" i="12"/>
  <c r="T366" i="12"/>
  <c r="U366" i="12" s="1"/>
  <c r="T365" i="12"/>
  <c r="U365" i="12" s="1"/>
  <c r="V364" i="12"/>
  <c r="W364" i="12" s="1"/>
  <c r="U364" i="12"/>
  <c r="T364" i="12"/>
  <c r="T363" i="12"/>
  <c r="V363" i="12" s="1"/>
  <c r="W363" i="12" s="1"/>
  <c r="T362" i="12"/>
  <c r="V361" i="12"/>
  <c r="T361" i="12"/>
  <c r="U361" i="12" s="1"/>
  <c r="T360" i="12"/>
  <c r="T359" i="12"/>
  <c r="T358" i="12"/>
  <c r="V358" i="12" s="1"/>
  <c r="T357" i="12"/>
  <c r="W356" i="12"/>
  <c r="T356" i="12"/>
  <c r="V356" i="12" s="1"/>
  <c r="T355" i="12"/>
  <c r="V355" i="12" s="1"/>
  <c r="W355" i="12" s="1"/>
  <c r="V354" i="12"/>
  <c r="W354" i="12" s="1"/>
  <c r="U354" i="12"/>
  <c r="T354" i="12"/>
  <c r="T353" i="12"/>
  <c r="V353" i="12" s="1"/>
  <c r="W353" i="12" s="1"/>
  <c r="T352" i="12"/>
  <c r="V351" i="12"/>
  <c r="T351" i="12"/>
  <c r="U351" i="12" s="1"/>
  <c r="T350" i="12"/>
  <c r="U350" i="12" s="1"/>
  <c r="T349" i="12"/>
  <c r="U349" i="12" s="1"/>
  <c r="T348" i="12"/>
  <c r="T347" i="12"/>
  <c r="V347" i="12" s="1"/>
  <c r="W347" i="12" s="1"/>
  <c r="U346" i="12"/>
  <c r="T346" i="12"/>
  <c r="V346" i="12" s="1"/>
  <c r="W346" i="12" s="1"/>
  <c r="T345" i="12"/>
  <c r="T344" i="12"/>
  <c r="T343" i="12"/>
  <c r="T342" i="12"/>
  <c r="V342" i="12" s="1"/>
  <c r="T341" i="12"/>
  <c r="V341" i="12" s="1"/>
  <c r="W341" i="12" s="1"/>
  <c r="T340" i="12"/>
  <c r="V340" i="12" s="1"/>
  <c r="W340" i="12" s="1"/>
  <c r="T339" i="12"/>
  <c r="V339" i="12" s="1"/>
  <c r="W339" i="12" s="1"/>
  <c r="T338" i="12"/>
  <c r="T337" i="12"/>
  <c r="U337" i="12" s="1"/>
  <c r="T336" i="12"/>
  <c r="T335" i="12"/>
  <c r="V334" i="12"/>
  <c r="U334" i="12"/>
  <c r="T334" i="12"/>
  <c r="T333" i="12"/>
  <c r="V333" i="12" s="1"/>
  <c r="W333" i="12" s="1"/>
  <c r="V332" i="12"/>
  <c r="W332" i="12" s="1"/>
  <c r="T332" i="12"/>
  <c r="U332" i="12" s="1"/>
  <c r="U331" i="12"/>
  <c r="T331" i="12"/>
  <c r="V331" i="12" s="1"/>
  <c r="W331" i="12" s="1"/>
  <c r="U330" i="12"/>
  <c r="T330" i="12"/>
  <c r="V330" i="12" s="1"/>
  <c r="W330" i="12" s="1"/>
  <c r="T329" i="12"/>
  <c r="U329" i="12" s="1"/>
  <c r="T328" i="12"/>
  <c r="T327" i="12"/>
  <c r="T326" i="12"/>
  <c r="V326" i="12" s="1"/>
  <c r="T325" i="12"/>
  <c r="U325" i="12" s="1"/>
  <c r="W324" i="12"/>
  <c r="T324" i="12"/>
  <c r="V324" i="12" s="1"/>
  <c r="T323" i="12"/>
  <c r="V322" i="12"/>
  <c r="W322" i="12" s="1"/>
  <c r="U322" i="12"/>
  <c r="T322" i="12"/>
  <c r="T321" i="12"/>
  <c r="V321" i="12" s="1"/>
  <c r="W321" i="12" s="1"/>
  <c r="T320" i="12"/>
  <c r="T319" i="12"/>
  <c r="U319" i="12" s="1"/>
  <c r="T318" i="12"/>
  <c r="U318" i="12" s="1"/>
  <c r="V317" i="12"/>
  <c r="T317" i="12"/>
  <c r="U317" i="12" s="1"/>
  <c r="V316" i="12"/>
  <c r="W316" i="12" s="1"/>
  <c r="U316" i="12"/>
  <c r="T316" i="12"/>
  <c r="T315" i="12"/>
  <c r="V314" i="12"/>
  <c r="W314" i="12" s="1"/>
  <c r="T314" i="12"/>
  <c r="U314" i="12" s="1"/>
  <c r="V313" i="12"/>
  <c r="T313" i="12"/>
  <c r="U313" i="12" s="1"/>
  <c r="T312" i="12"/>
  <c r="T311" i="12"/>
  <c r="U310" i="12"/>
  <c r="T310" i="12"/>
  <c r="V310" i="12" s="1"/>
  <c r="T309" i="12"/>
  <c r="U309" i="12" s="1"/>
  <c r="T308" i="12"/>
  <c r="U307" i="12"/>
  <c r="T307" i="12"/>
  <c r="V307" i="12" s="1"/>
  <c r="W307" i="12" s="1"/>
  <c r="V306" i="12"/>
  <c r="W306" i="12" s="1"/>
  <c r="U306" i="12"/>
  <c r="T306" i="12"/>
  <c r="T305" i="12"/>
  <c r="V305" i="12" s="1"/>
  <c r="W305" i="12" s="1"/>
  <c r="T304" i="12"/>
  <c r="T303" i="12"/>
  <c r="T302" i="12"/>
  <c r="U302" i="12" s="1"/>
  <c r="T301" i="12"/>
  <c r="U301" i="12" s="1"/>
  <c r="W300" i="12"/>
  <c r="V300" i="12"/>
  <c r="U300" i="12"/>
  <c r="T300" i="12"/>
  <c r="T299" i="12"/>
  <c r="V299" i="12" s="1"/>
  <c r="W299" i="12" s="1"/>
  <c r="T298" i="12"/>
  <c r="V298" i="12" s="1"/>
  <c r="W298" i="12" s="1"/>
  <c r="T297" i="12"/>
  <c r="U297" i="12" s="1"/>
  <c r="T296" i="12"/>
  <c r="T295" i="12"/>
  <c r="T294" i="12"/>
  <c r="V294" i="12" s="1"/>
  <c r="T293" i="12"/>
  <c r="V292" i="12"/>
  <c r="U292" i="12"/>
  <c r="T292" i="12"/>
  <c r="T291" i="12"/>
  <c r="V291" i="12" s="1"/>
  <c r="W291" i="12" s="1"/>
  <c r="U290" i="12"/>
  <c r="T290" i="12"/>
  <c r="V290" i="12" s="1"/>
  <c r="W290" i="12" s="1"/>
  <c r="V289" i="12"/>
  <c r="T289" i="12"/>
  <c r="U289" i="12" s="1"/>
  <c r="T288" i="12"/>
  <c r="T287" i="12"/>
  <c r="T286" i="12"/>
  <c r="V286" i="12" s="1"/>
  <c r="T285" i="12"/>
  <c r="V285" i="12" s="1"/>
  <c r="W285" i="12" s="1"/>
  <c r="V284" i="12"/>
  <c r="T284" i="12"/>
  <c r="U284" i="12" s="1"/>
  <c r="T283" i="12"/>
  <c r="T282" i="12"/>
  <c r="W281" i="12"/>
  <c r="U281" i="12"/>
  <c r="T281" i="12"/>
  <c r="V281" i="12" s="1"/>
  <c r="T280" i="12"/>
  <c r="U279" i="12"/>
  <c r="T279" i="12"/>
  <c r="V279" i="12" s="1"/>
  <c r="T278" i="12"/>
  <c r="W277" i="12"/>
  <c r="V277" i="12"/>
  <c r="T277" i="12"/>
  <c r="U277" i="12" s="1"/>
  <c r="T276" i="12"/>
  <c r="V276" i="12" s="1"/>
  <c r="W276" i="12" s="1"/>
  <c r="T275" i="12"/>
  <c r="V274" i="12"/>
  <c r="U274" i="12"/>
  <c r="T274" i="12"/>
  <c r="T273" i="12"/>
  <c r="V273" i="12" s="1"/>
  <c r="T272" i="12"/>
  <c r="T271" i="12"/>
  <c r="V271" i="12" s="1"/>
  <c r="W271" i="12" s="1"/>
  <c r="U270" i="12"/>
  <c r="T270" i="12"/>
  <c r="V270" i="12" s="1"/>
  <c r="V269" i="12"/>
  <c r="W269" i="12" s="1"/>
  <c r="T269" i="12"/>
  <c r="U269" i="12" s="1"/>
  <c r="U268" i="12"/>
  <c r="T268" i="12"/>
  <c r="V268" i="12" s="1"/>
  <c r="T267" i="12"/>
  <c r="T266" i="12"/>
  <c r="V266" i="12" s="1"/>
  <c r="T265" i="12"/>
  <c r="V265" i="12" s="1"/>
  <c r="T264" i="12"/>
  <c r="W263" i="12"/>
  <c r="U263" i="12"/>
  <c r="T263" i="12"/>
  <c r="V263" i="12" s="1"/>
  <c r="T262" i="12"/>
  <c r="U262" i="12" s="1"/>
  <c r="T261" i="12"/>
  <c r="V260" i="12"/>
  <c r="W260" i="12" s="1"/>
  <c r="U260" i="12"/>
  <c r="T260" i="12"/>
  <c r="T259" i="12"/>
  <c r="T258" i="12"/>
  <c r="W257" i="12"/>
  <c r="U257" i="12"/>
  <c r="T257" i="12"/>
  <c r="V257" i="12" s="1"/>
  <c r="T256" i="12"/>
  <c r="T255" i="12"/>
  <c r="V255" i="12" s="1"/>
  <c r="W255" i="12" s="1"/>
  <c r="T254" i="12"/>
  <c r="V254" i="12" s="1"/>
  <c r="V253" i="12"/>
  <c r="W253" i="12" s="1"/>
  <c r="T253" i="12"/>
  <c r="U253" i="12" s="1"/>
  <c r="U252" i="12"/>
  <c r="T252" i="12"/>
  <c r="V252" i="12" s="1"/>
  <c r="T251" i="12"/>
  <c r="T250" i="12"/>
  <c r="V250" i="12" s="1"/>
  <c r="U249" i="12"/>
  <c r="T249" i="12"/>
  <c r="V249" i="12" s="1"/>
  <c r="T248" i="12"/>
  <c r="T247" i="12"/>
  <c r="V247" i="12" s="1"/>
  <c r="T246" i="12"/>
  <c r="W245" i="12"/>
  <c r="U245" i="12"/>
  <c r="T245" i="12"/>
  <c r="V245" i="12" s="1"/>
  <c r="T244" i="12"/>
  <c r="U244" i="12" s="1"/>
  <c r="T243" i="12"/>
  <c r="T242" i="12"/>
  <c r="U242" i="12" s="1"/>
  <c r="U241" i="12"/>
  <c r="T241" i="12"/>
  <c r="V241" i="12" s="1"/>
  <c r="T240" i="12"/>
  <c r="T239" i="12"/>
  <c r="V239" i="12" s="1"/>
  <c r="T238" i="12"/>
  <c r="U238" i="12" s="1"/>
  <c r="T237" i="12"/>
  <c r="V237" i="12" s="1"/>
  <c r="W237" i="12" s="1"/>
  <c r="T236" i="12"/>
  <c r="T235" i="12"/>
  <c r="V235" i="12" s="1"/>
  <c r="V234" i="12"/>
  <c r="W234" i="12" s="1"/>
  <c r="T234" i="12"/>
  <c r="U234" i="12" s="1"/>
  <c r="U233" i="12"/>
  <c r="T233" i="12"/>
  <c r="V233" i="12" s="1"/>
  <c r="T232" i="12"/>
  <c r="U232" i="12" s="1"/>
  <c r="T231" i="12"/>
  <c r="V231" i="12" s="1"/>
  <c r="W231" i="12" s="1"/>
  <c r="U230" i="12"/>
  <c r="T230" i="12"/>
  <c r="V230" i="12" s="1"/>
  <c r="T229" i="12"/>
  <c r="T228" i="12"/>
  <c r="U227" i="12"/>
  <c r="T227" i="12"/>
  <c r="V227" i="12" s="1"/>
  <c r="T226" i="12"/>
  <c r="V226" i="12" s="1"/>
  <c r="U225" i="12"/>
  <c r="T225" i="12"/>
  <c r="V225" i="12" s="1"/>
  <c r="W225" i="12" s="1"/>
  <c r="T224" i="12"/>
  <c r="V224" i="12" s="1"/>
  <c r="T223" i="12"/>
  <c r="V223" i="12" s="1"/>
  <c r="W223" i="12" s="1"/>
  <c r="T222" i="12"/>
  <c r="T221" i="12"/>
  <c r="T220" i="12"/>
  <c r="T219" i="12"/>
  <c r="V219" i="12" s="1"/>
  <c r="T218" i="12"/>
  <c r="V217" i="12"/>
  <c r="U217" i="12"/>
  <c r="T217" i="12"/>
  <c r="T216" i="12"/>
  <c r="V216" i="12" s="1"/>
  <c r="T215" i="12"/>
  <c r="V215" i="12" s="1"/>
  <c r="W215" i="12" s="1"/>
  <c r="T214" i="12"/>
  <c r="T213" i="12"/>
  <c r="U213" i="12" s="1"/>
  <c r="T212" i="12"/>
  <c r="U211" i="12"/>
  <c r="T211" i="12"/>
  <c r="V211" i="12" s="1"/>
  <c r="W211" i="12" s="1"/>
  <c r="T210" i="12"/>
  <c r="U209" i="12"/>
  <c r="T209" i="12"/>
  <c r="V209" i="12" s="1"/>
  <c r="T208" i="12"/>
  <c r="V208" i="12" s="1"/>
  <c r="T207" i="12"/>
  <c r="V207" i="12" s="1"/>
  <c r="W207" i="12" s="1"/>
  <c r="T206" i="12"/>
  <c r="V206" i="12" s="1"/>
  <c r="W206" i="12" s="1"/>
  <c r="T205" i="12"/>
  <c r="T204" i="12"/>
  <c r="U204" i="12" s="1"/>
  <c r="T203" i="12"/>
  <c r="V203" i="12" s="1"/>
  <c r="T202" i="12"/>
  <c r="V202" i="12" s="1"/>
  <c r="T201" i="12"/>
  <c r="V201" i="12" s="1"/>
  <c r="T200" i="12"/>
  <c r="V200" i="12" s="1"/>
  <c r="T199" i="12"/>
  <c r="V199" i="12" s="1"/>
  <c r="W199" i="12" s="1"/>
  <c r="T198" i="12"/>
  <c r="T197" i="12"/>
  <c r="U197" i="12" s="1"/>
  <c r="T196" i="12"/>
  <c r="T195" i="12"/>
  <c r="V195" i="12" s="1"/>
  <c r="W195" i="12" s="1"/>
  <c r="T194" i="12"/>
  <c r="T193" i="12"/>
  <c r="V193" i="12" s="1"/>
  <c r="W193" i="12" s="1"/>
  <c r="T192" i="12"/>
  <c r="V192" i="12" s="1"/>
  <c r="W192" i="12" s="1"/>
  <c r="T191" i="12"/>
  <c r="V191" i="12" s="1"/>
  <c r="W191" i="12" s="1"/>
  <c r="T190" i="12"/>
  <c r="U190" i="12" s="1"/>
  <c r="T189" i="12"/>
  <c r="T188" i="12"/>
  <c r="U188" i="12" s="1"/>
  <c r="U187" i="12"/>
  <c r="T187" i="12"/>
  <c r="V187" i="12" s="1"/>
  <c r="V186" i="12"/>
  <c r="W186" i="12" s="1"/>
  <c r="U186" i="12"/>
  <c r="T186" i="12"/>
  <c r="T185" i="12"/>
  <c r="V185" i="12" s="1"/>
  <c r="T184" i="12"/>
  <c r="V184" i="12" s="1"/>
  <c r="T183" i="12"/>
  <c r="V183" i="12" s="1"/>
  <c r="W183" i="12" s="1"/>
  <c r="T182" i="12"/>
  <c r="U181" i="12"/>
  <c r="T181" i="12"/>
  <c r="V181" i="12" s="1"/>
  <c r="T180" i="12"/>
  <c r="V179" i="12"/>
  <c r="W179" i="12" s="1"/>
  <c r="U179" i="12"/>
  <c r="T179" i="12"/>
  <c r="T178" i="12"/>
  <c r="V178" i="12" s="1"/>
  <c r="T177" i="12"/>
  <c r="W176" i="12"/>
  <c r="U176" i="12"/>
  <c r="T176" i="12"/>
  <c r="V176" i="12" s="1"/>
  <c r="T175" i="12"/>
  <c r="V174" i="12"/>
  <c r="W174" i="12" s="1"/>
  <c r="T174" i="12"/>
  <c r="U174" i="12" s="1"/>
  <c r="T173" i="12"/>
  <c r="T172" i="12"/>
  <c r="U172" i="12" s="1"/>
  <c r="T171" i="12"/>
  <c r="V171" i="12" s="1"/>
  <c r="T170" i="12"/>
  <c r="V170" i="12" s="1"/>
  <c r="W170" i="12" s="1"/>
  <c r="T169" i="12"/>
  <c r="V169" i="12" s="1"/>
  <c r="W169" i="12" s="1"/>
  <c r="T168" i="12"/>
  <c r="T167" i="12"/>
  <c r="V167" i="12" s="1"/>
  <c r="W167" i="12" s="1"/>
  <c r="U166" i="12"/>
  <c r="T166" i="12"/>
  <c r="V166" i="12" s="1"/>
  <c r="W166" i="12" s="1"/>
  <c r="U165" i="12"/>
  <c r="T165" i="12"/>
  <c r="V165" i="12" s="1"/>
  <c r="W165" i="12" s="1"/>
  <c r="T164" i="12"/>
  <c r="T163" i="12"/>
  <c r="U163" i="12" s="1"/>
  <c r="T162" i="12"/>
  <c r="V162" i="12" s="1"/>
  <c r="T161" i="12"/>
  <c r="V161" i="12" s="1"/>
  <c r="W161" i="12" s="1"/>
  <c r="V160" i="12"/>
  <c r="U160" i="12"/>
  <c r="T160" i="12"/>
  <c r="T159" i="12"/>
  <c r="V159" i="12" s="1"/>
  <c r="W159" i="12" s="1"/>
  <c r="T158" i="12"/>
  <c r="V157" i="12"/>
  <c r="W157" i="12" s="1"/>
  <c r="T157" i="12"/>
  <c r="U157" i="12" s="1"/>
  <c r="T156" i="12"/>
  <c r="T155" i="12"/>
  <c r="U155" i="12" s="1"/>
  <c r="T154" i="12"/>
  <c r="V154" i="12" s="1"/>
  <c r="T153" i="12"/>
  <c r="V153" i="12" s="1"/>
  <c r="W153" i="12" s="1"/>
  <c r="T152" i="12"/>
  <c r="V152" i="12" s="1"/>
  <c r="T151" i="12"/>
  <c r="V151" i="12" s="1"/>
  <c r="W151" i="12" s="1"/>
  <c r="T150" i="12"/>
  <c r="V149" i="12"/>
  <c r="U149" i="12"/>
  <c r="T149" i="12"/>
  <c r="T148" i="12"/>
  <c r="V147" i="12"/>
  <c r="W147" i="12" s="1"/>
  <c r="T147" i="12"/>
  <c r="U147" i="12" s="1"/>
  <c r="T146" i="12"/>
  <c r="V146" i="12" s="1"/>
  <c r="T145" i="12"/>
  <c r="V145" i="12" s="1"/>
  <c r="W145" i="12" s="1"/>
  <c r="T144" i="12"/>
  <c r="V144" i="12" s="1"/>
  <c r="V143" i="12"/>
  <c r="W143" i="12" s="1"/>
  <c r="T143" i="12"/>
  <c r="U143" i="12" s="1"/>
  <c r="T142" i="12"/>
  <c r="T141" i="12"/>
  <c r="V141" i="12" s="1"/>
  <c r="W141" i="12" s="1"/>
  <c r="T140" i="12"/>
  <c r="T139" i="12"/>
  <c r="U139" i="12" s="1"/>
  <c r="T138" i="12"/>
  <c r="V138" i="12" s="1"/>
  <c r="T137" i="12"/>
  <c r="V137" i="12" s="1"/>
  <c r="W137" i="12" s="1"/>
  <c r="V136" i="12"/>
  <c r="U136" i="12"/>
  <c r="T136" i="12"/>
  <c r="T135" i="12"/>
  <c r="V135" i="12" s="1"/>
  <c r="W135" i="12" s="1"/>
  <c r="T134" i="12"/>
  <c r="V133" i="12"/>
  <c r="U133" i="12"/>
  <c r="T133" i="12"/>
  <c r="T132" i="12"/>
  <c r="V131" i="12"/>
  <c r="W131" i="12" s="1"/>
  <c r="T131" i="12"/>
  <c r="U131" i="12" s="1"/>
  <c r="U130" i="12"/>
  <c r="T130" i="12"/>
  <c r="V130" i="12" s="1"/>
  <c r="T129" i="12"/>
  <c r="V129" i="12" s="1"/>
  <c r="W129" i="12" s="1"/>
  <c r="T128" i="12"/>
  <c r="V128" i="12" s="1"/>
  <c r="T127" i="12"/>
  <c r="T126" i="12"/>
  <c r="T125" i="12"/>
  <c r="V125" i="12" s="1"/>
  <c r="W125" i="12" s="1"/>
  <c r="T124" i="12"/>
  <c r="V124" i="12" s="1"/>
  <c r="W124" i="12" s="1"/>
  <c r="T123" i="12"/>
  <c r="U123" i="12" s="1"/>
  <c r="T122" i="12"/>
  <c r="V122" i="12" s="1"/>
  <c r="W122" i="12" s="1"/>
  <c r="T121" i="12"/>
  <c r="T120" i="12"/>
  <c r="V120" i="12" s="1"/>
  <c r="T119" i="12"/>
  <c r="U119" i="12" s="1"/>
  <c r="T118" i="12"/>
  <c r="V118" i="12" s="1"/>
  <c r="W118" i="12" s="1"/>
  <c r="T117" i="12"/>
  <c r="V117" i="12" s="1"/>
  <c r="T116" i="12"/>
  <c r="V116" i="12" s="1"/>
  <c r="V115" i="12"/>
  <c r="W115" i="12" s="1"/>
  <c r="T115" i="12"/>
  <c r="U115" i="12" s="1"/>
  <c r="T114" i="12"/>
  <c r="T113" i="12"/>
  <c r="V113" i="12" s="1"/>
  <c r="T112" i="12"/>
  <c r="V112" i="12" s="1"/>
  <c r="V111" i="12"/>
  <c r="W111" i="12" s="1"/>
  <c r="T111" i="12"/>
  <c r="U111" i="12" s="1"/>
  <c r="T110" i="12"/>
  <c r="T109" i="12"/>
  <c r="V109" i="12" s="1"/>
  <c r="T108" i="12"/>
  <c r="V108" i="12" s="1"/>
  <c r="T107" i="12"/>
  <c r="U107" i="12" s="1"/>
  <c r="T106" i="12"/>
  <c r="V106" i="12" s="1"/>
  <c r="T105" i="12"/>
  <c r="V104" i="12"/>
  <c r="U104" i="12"/>
  <c r="T104" i="12"/>
  <c r="T103" i="12"/>
  <c r="U103" i="12" s="1"/>
  <c r="T102" i="12"/>
  <c r="V102" i="12" s="1"/>
  <c r="W102" i="12" s="1"/>
  <c r="W101" i="12"/>
  <c r="T101" i="12"/>
  <c r="V101" i="12" s="1"/>
  <c r="T100" i="12"/>
  <c r="U99" i="12"/>
  <c r="T99" i="12"/>
  <c r="V99" i="12" s="1"/>
  <c r="T98" i="12"/>
  <c r="T97" i="12"/>
  <c r="V97" i="12" s="1"/>
  <c r="V96" i="12"/>
  <c r="W96" i="12" s="1"/>
  <c r="T96" i="12"/>
  <c r="U96" i="12" s="1"/>
  <c r="T95" i="12"/>
  <c r="V95" i="12" s="1"/>
  <c r="T94" i="12"/>
  <c r="U94" i="12" s="1"/>
  <c r="W93" i="12"/>
  <c r="T93" i="12"/>
  <c r="V93" i="12" s="1"/>
  <c r="T92" i="12"/>
  <c r="T91" i="12"/>
  <c r="T90" i="12"/>
  <c r="U90" i="12" s="1"/>
  <c r="T89" i="12"/>
  <c r="V89" i="12" s="1"/>
  <c r="V88" i="12"/>
  <c r="W88" i="12" s="1"/>
  <c r="U88" i="12"/>
  <c r="T88" i="12"/>
  <c r="T87" i="12"/>
  <c r="V87" i="12" s="1"/>
  <c r="V86" i="12"/>
  <c r="T86" i="12"/>
  <c r="U86" i="12" s="1"/>
  <c r="T85" i="12"/>
  <c r="V85" i="12" s="1"/>
  <c r="T84" i="12"/>
  <c r="T83" i="12"/>
  <c r="T82" i="12"/>
  <c r="U82" i="12" s="1"/>
  <c r="T81" i="12"/>
  <c r="V81" i="12" s="1"/>
  <c r="T80" i="12"/>
  <c r="V80" i="12" s="1"/>
  <c r="W80" i="12" s="1"/>
  <c r="T79" i="12"/>
  <c r="W78" i="12"/>
  <c r="V78" i="12"/>
  <c r="T78" i="12"/>
  <c r="U78" i="12" s="1"/>
  <c r="T77" i="12"/>
  <c r="V77" i="12" s="1"/>
  <c r="T76" i="12"/>
  <c r="T75" i="12"/>
  <c r="V75" i="12" s="1"/>
  <c r="W75" i="12" s="1"/>
  <c r="T74" i="12"/>
  <c r="U74" i="12" s="1"/>
  <c r="T73" i="12"/>
  <c r="V73" i="12" s="1"/>
  <c r="T72" i="12"/>
  <c r="V72" i="12" s="1"/>
  <c r="T71" i="12"/>
  <c r="V71" i="12" s="1"/>
  <c r="T70" i="12"/>
  <c r="U70" i="12" s="1"/>
  <c r="T69" i="12"/>
  <c r="V69" i="12" s="1"/>
  <c r="T68" i="12"/>
  <c r="T67" i="12"/>
  <c r="T66" i="12"/>
  <c r="U66" i="12" s="1"/>
  <c r="W65" i="12"/>
  <c r="T65" i="12"/>
  <c r="V65" i="12" s="1"/>
  <c r="T64" i="12"/>
  <c r="V64" i="12" s="1"/>
  <c r="T63" i="12"/>
  <c r="V63" i="12" s="1"/>
  <c r="T62" i="12"/>
  <c r="U62" i="12" s="1"/>
  <c r="T61" i="12"/>
  <c r="V61" i="12" s="1"/>
  <c r="T60" i="12"/>
  <c r="T59" i="12"/>
  <c r="T58" i="12"/>
  <c r="U58" i="12" s="1"/>
  <c r="W57" i="12"/>
  <c r="T57" i="12"/>
  <c r="V57" i="12" s="1"/>
  <c r="T56" i="12"/>
  <c r="V56" i="12" s="1"/>
  <c r="T55" i="12"/>
  <c r="V55" i="12" s="1"/>
  <c r="T54" i="12"/>
  <c r="U54" i="12" s="1"/>
  <c r="T53" i="12"/>
  <c r="V53" i="12" s="1"/>
  <c r="T52" i="12"/>
  <c r="U51" i="12"/>
  <c r="T51" i="12"/>
  <c r="V51" i="12" s="1"/>
  <c r="W51" i="12" s="1"/>
  <c r="T50" i="12"/>
  <c r="U50" i="12" s="1"/>
  <c r="W49" i="12"/>
  <c r="T49" i="12"/>
  <c r="V49" i="12" s="1"/>
  <c r="T48" i="12"/>
  <c r="V48" i="12" s="1"/>
  <c r="T47" i="12"/>
  <c r="V47" i="12" s="1"/>
  <c r="T46" i="12"/>
  <c r="U46" i="12" s="1"/>
  <c r="W45" i="12"/>
  <c r="U45" i="12"/>
  <c r="T45" i="12"/>
  <c r="V45" i="12" s="1"/>
  <c r="T44" i="12"/>
  <c r="V43" i="12"/>
  <c r="W43" i="12" s="1"/>
  <c r="U43" i="12"/>
  <c r="T43" i="12"/>
  <c r="T42" i="12"/>
  <c r="U42" i="12" s="1"/>
  <c r="T41" i="12"/>
  <c r="T40" i="12"/>
  <c r="V40" i="12" s="1"/>
  <c r="W40" i="12" s="1"/>
  <c r="T39" i="12"/>
  <c r="T38" i="12"/>
  <c r="U38" i="12" s="1"/>
  <c r="T37" i="12"/>
  <c r="V37" i="12" s="1"/>
  <c r="T36" i="12"/>
  <c r="V36" i="12" s="1"/>
  <c r="W36" i="12" s="1"/>
  <c r="T35" i="12"/>
  <c r="T34" i="12"/>
  <c r="U34" i="12" s="1"/>
  <c r="T33" i="12"/>
  <c r="T32" i="12"/>
  <c r="V32" i="12" s="1"/>
  <c r="V31" i="12"/>
  <c r="U31" i="12"/>
  <c r="T31" i="12"/>
  <c r="T30" i="12"/>
  <c r="V29" i="12"/>
  <c r="U29" i="12"/>
  <c r="T29" i="12"/>
  <c r="T28" i="12"/>
  <c r="V28" i="12" s="1"/>
  <c r="W28" i="12" s="1"/>
  <c r="T27" i="12"/>
  <c r="V27" i="12" s="1"/>
  <c r="T26" i="12"/>
  <c r="V26" i="12" s="1"/>
  <c r="T25" i="12"/>
  <c r="T24" i="12"/>
  <c r="V24" i="12" s="1"/>
  <c r="T23" i="12"/>
  <c r="V23" i="12" s="1"/>
  <c r="T22" i="12"/>
  <c r="U22" i="12" s="1"/>
  <c r="U21" i="12"/>
  <c r="T21" i="12"/>
  <c r="V21" i="12" s="1"/>
  <c r="T20" i="12"/>
  <c r="V20" i="12" s="1"/>
  <c r="W20" i="12" s="1"/>
  <c r="V19" i="12"/>
  <c r="W19" i="12" s="1"/>
  <c r="U19" i="12"/>
  <c r="T19" i="12"/>
  <c r="T18" i="12"/>
  <c r="V18" i="12" s="1"/>
  <c r="T17" i="12"/>
  <c r="T16" i="12"/>
  <c r="V16" i="12" s="1"/>
  <c r="V15" i="12"/>
  <c r="U15" i="12"/>
  <c r="T15" i="12"/>
  <c r="V14" i="12"/>
  <c r="T14" i="12"/>
  <c r="U14" i="12" s="1"/>
  <c r="U13" i="12"/>
  <c r="T13" i="12"/>
  <c r="V13" i="12" s="1"/>
  <c r="T12" i="12"/>
  <c r="V12" i="12" s="1"/>
  <c r="W12" i="12" s="1"/>
  <c r="T11" i="12"/>
  <c r="V11" i="12" s="1"/>
  <c r="U35" i="12" l="1"/>
  <c r="V35" i="12"/>
  <c r="W35" i="12" s="1"/>
  <c r="V308" i="12"/>
  <c r="W308" i="12" s="1"/>
  <c r="U308" i="12"/>
  <c r="U372" i="12"/>
  <c r="U169" i="12"/>
  <c r="U206" i="12"/>
  <c r="U250" i="12"/>
  <c r="U305" i="12"/>
  <c r="U338" i="12"/>
  <c r="V338" i="12"/>
  <c r="W338" i="12" s="1"/>
  <c r="U59" i="12"/>
  <c r="V59" i="12"/>
  <c r="W59" i="12" s="1"/>
  <c r="V83" i="12"/>
  <c r="W83" i="12" s="1"/>
  <c r="U83" i="12"/>
  <c r="U122" i="12"/>
  <c r="U154" i="12"/>
  <c r="U195" i="12"/>
  <c r="U201" i="12"/>
  <c r="U224" i="12"/>
  <c r="V318" i="12"/>
  <c r="U333" i="12"/>
  <c r="U345" i="12"/>
  <c r="V345" i="12"/>
  <c r="W345" i="12" s="1"/>
  <c r="V362" i="12"/>
  <c r="W362" i="12" s="1"/>
  <c r="U362" i="12"/>
  <c r="V383" i="12"/>
  <c r="W383" i="12" s="1"/>
  <c r="V315" i="12"/>
  <c r="W315" i="12" s="1"/>
  <c r="U315" i="12"/>
  <c r="V411" i="12"/>
  <c r="W411" i="12" s="1"/>
  <c r="U411" i="12"/>
  <c r="U91" i="12"/>
  <c r="V91" i="12"/>
  <c r="V282" i="12"/>
  <c r="U282" i="12"/>
  <c r="U278" i="12"/>
  <c r="V278" i="12"/>
  <c r="U30" i="12"/>
  <c r="V30" i="12"/>
  <c r="W30" i="12" s="1"/>
  <c r="V42" i="12"/>
  <c r="W42" i="12" s="1"/>
  <c r="U98" i="12"/>
  <c r="V98" i="12"/>
  <c r="V218" i="12"/>
  <c r="U218" i="12"/>
  <c r="V38" i="12"/>
  <c r="V54" i="12"/>
  <c r="V94" i="12"/>
  <c r="W94" i="12" s="1"/>
  <c r="U141" i="12"/>
  <c r="U171" i="12"/>
  <c r="V213" i="12"/>
  <c r="U285" i="12"/>
  <c r="U340" i="12"/>
  <c r="U357" i="12"/>
  <c r="V357" i="12"/>
  <c r="W357" i="12" s="1"/>
  <c r="U127" i="12"/>
  <c r="V127" i="12"/>
  <c r="W127" i="12" s="1"/>
  <c r="V258" i="12"/>
  <c r="U258" i="12"/>
  <c r="V70" i="12"/>
  <c r="W70" i="12" s="1"/>
  <c r="U144" i="12"/>
  <c r="V39" i="12"/>
  <c r="U39" i="12"/>
  <c r="U67" i="12"/>
  <c r="V67" i="12"/>
  <c r="W67" i="12" s="1"/>
  <c r="U151" i="12"/>
  <c r="V177" i="12"/>
  <c r="U177" i="12"/>
  <c r="U192" i="12"/>
  <c r="U237" i="12"/>
  <c r="U261" i="12"/>
  <c r="V261" i="12"/>
  <c r="W261" i="12" s="1"/>
  <c r="U271" i="12"/>
  <c r="V325" i="12"/>
  <c r="W325" i="12" s="1"/>
  <c r="V375" i="12"/>
  <c r="V399" i="12"/>
  <c r="W399" i="12" s="1"/>
  <c r="V348" i="12"/>
  <c r="U348" i="12"/>
  <c r="U75" i="12"/>
  <c r="U87" i="12"/>
  <c r="U183" i="12"/>
  <c r="U293" i="12"/>
  <c r="V293" i="12"/>
  <c r="W293" i="12" s="1"/>
  <c r="V62" i="12"/>
  <c r="W62" i="12" s="1"/>
  <c r="U79" i="12"/>
  <c r="V79" i="12"/>
  <c r="V90" i="12"/>
  <c r="W90" i="12" s="1"/>
  <c r="U101" i="12"/>
  <c r="U112" i="12"/>
  <c r="U298" i="12"/>
  <c r="U347" i="12"/>
  <c r="U380" i="12"/>
  <c r="V365" i="12"/>
  <c r="U388" i="12"/>
  <c r="V22" i="12"/>
  <c r="W22" i="12" s="1"/>
  <c r="U27" i="12"/>
  <c r="V46" i="12"/>
  <c r="W46" i="12" s="1"/>
  <c r="U55" i="12"/>
  <c r="U63" i="12"/>
  <c r="U71" i="12"/>
  <c r="U95" i="12"/>
  <c r="U135" i="12"/>
  <c r="U138" i="12"/>
  <c r="U152" i="12"/>
  <c r="V155" i="12"/>
  <c r="U159" i="12"/>
  <c r="U162" i="12"/>
  <c r="U185" i="12"/>
  <c r="V188" i="12"/>
  <c r="W188" i="12" s="1"/>
  <c r="U193" i="12"/>
  <c r="U202" i="12"/>
  <c r="U215" i="12"/>
  <c r="V242" i="12"/>
  <c r="W242" i="12" s="1"/>
  <c r="U247" i="12"/>
  <c r="U255" i="12"/>
  <c r="U265" i="12"/>
  <c r="U276" i="12"/>
  <c r="V301" i="12"/>
  <c r="V319" i="12"/>
  <c r="W319" i="12" s="1"/>
  <c r="U326" i="12"/>
  <c r="U341" i="12"/>
  <c r="U353" i="12"/>
  <c r="U355" i="12"/>
  <c r="U358" i="12"/>
  <c r="U370" i="12"/>
  <c r="U385" i="12"/>
  <c r="V396" i="12"/>
  <c r="W396" i="12" s="1"/>
  <c r="U401" i="12"/>
  <c r="V404" i="12"/>
  <c r="W404" i="12" s="1"/>
  <c r="V409" i="12"/>
  <c r="U412" i="12"/>
  <c r="U11" i="12"/>
  <c r="U23" i="12"/>
  <c r="U40" i="12"/>
  <c r="U47" i="12"/>
  <c r="U80" i="12"/>
  <c r="U120" i="12"/>
  <c r="U124" i="12"/>
  <c r="U128" i="12"/>
  <c r="U146" i="12"/>
  <c r="U170" i="12"/>
  <c r="U178" i="12"/>
  <c r="U208" i="12"/>
  <c r="U239" i="12"/>
  <c r="V262" i="12"/>
  <c r="W262" i="12" s="1"/>
  <c r="U266" i="12"/>
  <c r="U273" i="12"/>
  <c r="U291" i="12"/>
  <c r="U299" i="12"/>
  <c r="U324" i="12"/>
  <c r="V349" i="12"/>
  <c r="W349" i="12" s="1"/>
  <c r="U356" i="12"/>
  <c r="U363" i="12"/>
  <c r="V381" i="12"/>
  <c r="W381" i="12" s="1"/>
  <c r="U386" i="12"/>
  <c r="V389" i="12"/>
  <c r="W389" i="12" s="1"/>
  <c r="U394" i="12"/>
  <c r="V397" i="12"/>
  <c r="U402" i="12"/>
  <c r="U410" i="12"/>
  <c r="U93" i="12"/>
  <c r="V139" i="12"/>
  <c r="U153" i="12"/>
  <c r="V163" i="12"/>
  <c r="W163" i="12" s="1"/>
  <c r="U231" i="12"/>
  <c r="V309" i="12"/>
  <c r="W309" i="12" s="1"/>
  <c r="U339" i="12"/>
  <c r="U342" i="12"/>
  <c r="V367" i="12"/>
  <c r="W367" i="12" s="1"/>
  <c r="U374" i="12"/>
  <c r="V405" i="12"/>
  <c r="W405" i="12" s="1"/>
  <c r="V413" i="12"/>
  <c r="W413" i="12" s="1"/>
  <c r="W106" i="12"/>
  <c r="W56" i="12"/>
  <c r="W48" i="12"/>
  <c r="W16" i="12"/>
  <c r="W26" i="12"/>
  <c r="W72" i="12"/>
  <c r="W18" i="12"/>
  <c r="W32" i="12"/>
  <c r="W24" i="12"/>
  <c r="W64" i="12"/>
  <c r="W113" i="12"/>
  <c r="V142" i="12"/>
  <c r="U142" i="12"/>
  <c r="V246" i="12"/>
  <c r="U246" i="12"/>
  <c r="U311" i="12"/>
  <c r="V311" i="12"/>
  <c r="W15" i="12"/>
  <c r="W21" i="12"/>
  <c r="W27" i="12"/>
  <c r="W29" i="12"/>
  <c r="W38" i="12"/>
  <c r="W73" i="12"/>
  <c r="W104" i="12"/>
  <c r="V148" i="12"/>
  <c r="U148" i="12"/>
  <c r="W171" i="12"/>
  <c r="W202" i="12"/>
  <c r="W213" i="12"/>
  <c r="U226" i="12"/>
  <c r="W294" i="12"/>
  <c r="V34" i="12"/>
  <c r="V41" i="12"/>
  <c r="U41" i="12"/>
  <c r="U48" i="12"/>
  <c r="W53" i="12"/>
  <c r="V58" i="12"/>
  <c r="W81" i="12"/>
  <c r="U16" i="12"/>
  <c r="U24" i="12"/>
  <c r="W89" i="12"/>
  <c r="V126" i="12"/>
  <c r="U126" i="12"/>
  <c r="V17" i="12"/>
  <c r="U17" i="12"/>
  <c r="V25" i="12"/>
  <c r="U25" i="12"/>
  <c r="V60" i="12"/>
  <c r="U60" i="12"/>
  <c r="W98" i="12"/>
  <c r="V110" i="12"/>
  <c r="U110" i="12"/>
  <c r="V156" i="12"/>
  <c r="U156" i="12"/>
  <c r="V168" i="12"/>
  <c r="U168" i="12"/>
  <c r="V194" i="12"/>
  <c r="U194" i="12"/>
  <c r="U212" i="12"/>
  <c r="V212" i="12"/>
  <c r="V221" i="12"/>
  <c r="U221" i="12"/>
  <c r="W230" i="12"/>
  <c r="W375" i="12"/>
  <c r="W226" i="12"/>
  <c r="U327" i="12"/>
  <c r="V327" i="12"/>
  <c r="U359" i="12"/>
  <c r="V359" i="12"/>
  <c r="W11" i="12"/>
  <c r="U113" i="12"/>
  <c r="V119" i="12"/>
  <c r="W133" i="12"/>
  <c r="U145" i="12"/>
  <c r="U199" i="12"/>
  <c r="V134" i="12"/>
  <c r="U134" i="12"/>
  <c r="W139" i="12"/>
  <c r="V189" i="12"/>
  <c r="U189" i="12"/>
  <c r="V210" i="12"/>
  <c r="U210" i="12"/>
  <c r="W218" i="12"/>
  <c r="W227" i="12"/>
  <c r="W284" i="12"/>
  <c r="W289" i="12"/>
  <c r="U294" i="12"/>
  <c r="W397" i="12"/>
  <c r="W13" i="12"/>
  <c r="U61" i="12"/>
  <c r="U18" i="12"/>
  <c r="W239" i="12"/>
  <c r="V243" i="12"/>
  <c r="U243" i="12"/>
  <c r="U295" i="12"/>
  <c r="V295" i="12"/>
  <c r="U303" i="12"/>
  <c r="V303" i="12"/>
  <c r="W351" i="12"/>
  <c r="V68" i="12"/>
  <c r="U68" i="12"/>
  <c r="U222" i="12"/>
  <c r="V222" i="12"/>
  <c r="W23" i="12"/>
  <c r="W31" i="12"/>
  <c r="U36" i="12"/>
  <c r="V50" i="12"/>
  <c r="U53" i="12"/>
  <c r="V76" i="12"/>
  <c r="U76" i="12"/>
  <c r="W86" i="12"/>
  <c r="W116" i="12"/>
  <c r="W209" i="12"/>
  <c r="W217" i="12"/>
  <c r="W409" i="12"/>
  <c r="W117" i="12"/>
  <c r="V158" i="12"/>
  <c r="U158" i="12"/>
  <c r="V172" i="12"/>
  <c r="V190" i="12"/>
  <c r="U196" i="12"/>
  <c r="V196" i="12"/>
  <c r="V204" i="12"/>
  <c r="W224" i="12"/>
  <c r="W252" i="12"/>
  <c r="V256" i="12"/>
  <c r="U256" i="12"/>
  <c r="W258" i="12"/>
  <c r="W268" i="12"/>
  <c r="U391" i="12"/>
  <c r="V391" i="12"/>
  <c r="V84" i="12"/>
  <c r="U84" i="12"/>
  <c r="W91" i="12"/>
  <c r="V105" i="12"/>
  <c r="U105" i="12"/>
  <c r="U108" i="12"/>
  <c r="U26" i="12"/>
  <c r="U32" i="12"/>
  <c r="U56" i="12"/>
  <c r="W61" i="12"/>
  <c r="V66" i="12"/>
  <c r="V92" i="12"/>
  <c r="U92" i="12"/>
  <c r="W177" i="12"/>
  <c r="U12" i="12"/>
  <c r="U20" i="12"/>
  <c r="V44" i="12"/>
  <c r="U44" i="12"/>
  <c r="U64" i="12"/>
  <c r="W69" i="12"/>
  <c r="W97" i="12"/>
  <c r="V100" i="12"/>
  <c r="U100" i="12"/>
  <c r="U106" i="12"/>
  <c r="W14" i="12"/>
  <c r="W37" i="12"/>
  <c r="W39" i="12"/>
  <c r="W54" i="12"/>
  <c r="U72" i="12"/>
  <c r="W77" i="12"/>
  <c r="V82" i="12"/>
  <c r="U85" i="12"/>
  <c r="V103" i="12"/>
  <c r="W109" i="12"/>
  <c r="W120" i="12"/>
  <c r="U129" i="12"/>
  <c r="V132" i="12"/>
  <c r="U132" i="12"/>
  <c r="W149" i="12"/>
  <c r="U161" i="12"/>
  <c r="V164" i="12"/>
  <c r="U164" i="12"/>
  <c r="W184" i="12"/>
  <c r="W388" i="12"/>
  <c r="U69" i="12"/>
  <c r="W99" i="12"/>
  <c r="W108" i="12"/>
  <c r="V114" i="12"/>
  <c r="U114" i="12"/>
  <c r="U117" i="12"/>
  <c r="U137" i="12"/>
  <c r="V140" i="12"/>
  <c r="U140" i="12"/>
  <c r="W200" i="12"/>
  <c r="U28" i="12"/>
  <c r="U37" i="12"/>
  <c r="V74" i="12"/>
  <c r="U77" i="12"/>
  <c r="V33" i="12"/>
  <c r="U33" i="12"/>
  <c r="U52" i="12"/>
  <c r="V52" i="12"/>
  <c r="W85" i="12"/>
  <c r="V121" i="12"/>
  <c r="U121" i="12"/>
  <c r="V150" i="12"/>
  <c r="U150" i="12"/>
  <c r="W155" i="12"/>
  <c r="V173" i="12"/>
  <c r="U173" i="12"/>
  <c r="W181" i="12"/>
  <c r="V197" i="12"/>
  <c r="W201" i="12"/>
  <c r="V205" i="12"/>
  <c r="U205" i="12"/>
  <c r="W233" i="12"/>
  <c r="U335" i="12"/>
  <c r="V335" i="12"/>
  <c r="V175" i="12"/>
  <c r="U175" i="12"/>
  <c r="V182" i="12"/>
  <c r="U182" i="12"/>
  <c r="W187" i="12"/>
  <c r="U240" i="12"/>
  <c r="V240" i="12"/>
  <c r="W278" i="12"/>
  <c r="W292" i="12"/>
  <c r="W219" i="12"/>
  <c r="W266" i="12"/>
  <c r="W279" i="12"/>
  <c r="W286" i="12"/>
  <c r="V392" i="12"/>
  <c r="U392" i="12"/>
  <c r="W216" i="12"/>
  <c r="U219" i="12"/>
  <c r="V248" i="12"/>
  <c r="U248" i="12"/>
  <c r="W250" i="12"/>
  <c r="W254" i="12"/>
  <c r="W270" i="12"/>
  <c r="W273" i="12"/>
  <c r="U286" i="12"/>
  <c r="W348" i="12"/>
  <c r="W393" i="12"/>
  <c r="U49" i="12"/>
  <c r="W55" i="12"/>
  <c r="U65" i="12"/>
  <c r="U73" i="12"/>
  <c r="W79" i="12"/>
  <c r="U89" i="12"/>
  <c r="U97" i="12"/>
  <c r="V107" i="12"/>
  <c r="W112" i="12"/>
  <c r="U116" i="12"/>
  <c r="W138" i="12"/>
  <c r="W144" i="12"/>
  <c r="W146" i="12"/>
  <c r="W154" i="12"/>
  <c r="W162" i="12"/>
  <c r="U180" i="12"/>
  <c r="V180" i="12"/>
  <c r="W185" i="12"/>
  <c r="V198" i="12"/>
  <c r="U198" i="12"/>
  <c r="W203" i="12"/>
  <c r="V214" i="12"/>
  <c r="U214" i="12"/>
  <c r="U220" i="12"/>
  <c r="V220" i="12"/>
  <c r="V251" i="12"/>
  <c r="U251" i="12"/>
  <c r="U287" i="12"/>
  <c r="V287" i="12"/>
  <c r="U343" i="12"/>
  <c r="V343" i="12"/>
  <c r="V403" i="12"/>
  <c r="U403" i="12"/>
  <c r="W47" i="12"/>
  <c r="U57" i="12"/>
  <c r="W63" i="12"/>
  <c r="W71" i="12"/>
  <c r="U81" i="12"/>
  <c r="W87" i="12"/>
  <c r="W95" i="12"/>
  <c r="U109" i="12"/>
  <c r="V123" i="12"/>
  <c r="U125" i="12"/>
  <c r="W128" i="12"/>
  <c r="W130" i="12"/>
  <c r="W136" i="12"/>
  <c r="W152" i="12"/>
  <c r="W160" i="12"/>
  <c r="U228" i="12"/>
  <c r="V228" i="12"/>
  <c r="U102" i="12"/>
  <c r="U118" i="12"/>
  <c r="U167" i="12"/>
  <c r="W178" i="12"/>
  <c r="U203" i="12"/>
  <c r="W208" i="12"/>
  <c r="V229" i="12"/>
  <c r="U229" i="12"/>
  <c r="V232" i="12"/>
  <c r="U236" i="12"/>
  <c r="V236" i="12"/>
  <c r="V238" i="12"/>
  <c r="V264" i="12"/>
  <c r="U264" i="12"/>
  <c r="V259" i="12"/>
  <c r="U259" i="12"/>
  <c r="V272" i="12"/>
  <c r="U272" i="12"/>
  <c r="W317" i="12"/>
  <c r="V328" i="12"/>
  <c r="U328" i="12"/>
  <c r="V344" i="12"/>
  <c r="U344" i="12"/>
  <c r="W365" i="12"/>
  <c r="V376" i="12"/>
  <c r="U376" i="12"/>
  <c r="V384" i="12"/>
  <c r="U384" i="12"/>
  <c r="W395" i="12"/>
  <c r="V406" i="12"/>
  <c r="U406" i="12"/>
  <c r="U184" i="12"/>
  <c r="U191" i="12"/>
  <c r="U200" i="12"/>
  <c r="U207" i="12"/>
  <c r="U216" i="12"/>
  <c r="U223" i="12"/>
  <c r="U235" i="12"/>
  <c r="W241" i="12"/>
  <c r="V244" i="12"/>
  <c r="U254" i="12"/>
  <c r="V267" i="12"/>
  <c r="U267" i="12"/>
  <c r="W274" i="12"/>
  <c r="V280" i="12"/>
  <c r="U280" i="12"/>
  <c r="V296" i="12"/>
  <c r="U296" i="12"/>
  <c r="V312" i="12"/>
  <c r="U312" i="12"/>
  <c r="V323" i="12"/>
  <c r="U323" i="12"/>
  <c r="V360" i="12"/>
  <c r="U360" i="12"/>
  <c r="V371" i="12"/>
  <c r="U371" i="12"/>
  <c r="V387" i="12"/>
  <c r="U387" i="12"/>
  <c r="U393" i="12"/>
  <c r="U395" i="12"/>
  <c r="V398" i="12"/>
  <c r="U407" i="12"/>
  <c r="V407" i="12"/>
  <c r="W412" i="12"/>
  <c r="W235" i="12"/>
  <c r="W249" i="12"/>
  <c r="V275" i="12"/>
  <c r="U275" i="12"/>
  <c r="W282" i="12"/>
  <c r="V288" i="12"/>
  <c r="U288" i="12"/>
  <c r="W301" i="12"/>
  <c r="U321" i="12"/>
  <c r="V329" i="12"/>
  <c r="V336" i="12"/>
  <c r="U336" i="12"/>
  <c r="U369" i="12"/>
  <c r="V377" i="12"/>
  <c r="W401" i="12"/>
  <c r="V283" i="12"/>
  <c r="U283" i="12"/>
  <c r="W313" i="12"/>
  <c r="W318" i="12"/>
  <c r="W326" i="12"/>
  <c r="W361" i="12"/>
  <c r="W366" i="12"/>
  <c r="W374" i="12"/>
  <c r="V408" i="12"/>
  <c r="U408" i="12"/>
  <c r="W247" i="12"/>
  <c r="W265" i="12"/>
  <c r="V297" i="12"/>
  <c r="V302" i="12"/>
  <c r="W310" i="12"/>
  <c r="V337" i="12"/>
  <c r="W342" i="12"/>
  <c r="V350" i="12"/>
  <c r="W358" i="12"/>
  <c r="V382" i="12"/>
  <c r="W385" i="12"/>
  <c r="W390" i="12"/>
  <c r="V400" i="12"/>
  <c r="U400" i="12"/>
  <c r="V304" i="12"/>
  <c r="U304" i="12"/>
  <c r="W334" i="12"/>
  <c r="V352" i="12"/>
  <c r="U352" i="12"/>
  <c r="V320" i="12"/>
  <c r="U320" i="12"/>
  <c r="V368" i="12"/>
  <c r="U368" i="12"/>
  <c r="T12" i="9"/>
  <c r="U12" i="9" s="1"/>
  <c r="V12" i="9" s="1"/>
  <c r="T13" i="9"/>
  <c r="U13" i="9" s="1"/>
  <c r="T11" i="9"/>
  <c r="W267" i="12" l="1"/>
  <c r="W232" i="12"/>
  <c r="W343" i="12"/>
  <c r="W205" i="12"/>
  <c r="W60" i="12"/>
  <c r="W240" i="12"/>
  <c r="W190" i="12"/>
  <c r="W304" i="12"/>
  <c r="W275" i="12"/>
  <c r="W384" i="12"/>
  <c r="W107" i="12"/>
  <c r="W132" i="12"/>
  <c r="W297" i="12"/>
  <c r="W288" i="12"/>
  <c r="W220" i="12"/>
  <c r="W198" i="12"/>
  <c r="W105" i="12"/>
  <c r="W196" i="12"/>
  <c r="W194" i="12"/>
  <c r="W34" i="12"/>
  <c r="W50" i="12"/>
  <c r="W221" i="12"/>
  <c r="W110" i="12"/>
  <c r="W148" i="12"/>
  <c r="W142" i="12"/>
  <c r="W283" i="12"/>
  <c r="W371" i="12"/>
  <c r="W248" i="12"/>
  <c r="W103" i="12"/>
  <c r="W320" i="12"/>
  <c r="W336" i="12"/>
  <c r="W344" i="12"/>
  <c r="W256" i="12"/>
  <c r="W303" i="12"/>
  <c r="W329" i="12"/>
  <c r="W229" i="12"/>
  <c r="W287" i="12"/>
  <c r="W150" i="12"/>
  <c r="W33" i="12"/>
  <c r="W244" i="12"/>
  <c r="W328" i="12"/>
  <c r="W295" i="12"/>
  <c r="W264" i="12"/>
  <c r="W228" i="12"/>
  <c r="W123" i="12"/>
  <c r="W74" i="12"/>
  <c r="W140" i="12"/>
  <c r="W82" i="12"/>
  <c r="W391" i="12"/>
  <c r="W172" i="12"/>
  <c r="W119" i="12"/>
  <c r="W212" i="12"/>
  <c r="W17" i="12"/>
  <c r="W407" i="12"/>
  <c r="W175" i="12"/>
  <c r="W189" i="12"/>
  <c r="W382" i="12"/>
  <c r="W335" i="12"/>
  <c r="W58" i="12"/>
  <c r="W246" i="12"/>
  <c r="W296" i="12"/>
  <c r="W259" i="12"/>
  <c r="W180" i="12"/>
  <c r="W222" i="12"/>
  <c r="W25" i="12"/>
  <c r="W360" i="12"/>
  <c r="W359" i="12"/>
  <c r="W377" i="12"/>
  <c r="W400" i="12"/>
  <c r="W280" i="12"/>
  <c r="W376" i="12"/>
  <c r="W238" i="12"/>
  <c r="W52" i="12"/>
  <c r="W44" i="12"/>
  <c r="W327" i="12"/>
  <c r="V414" i="12"/>
  <c r="W156" i="12"/>
  <c r="W41" i="12"/>
  <c r="W408" i="12"/>
  <c r="W312" i="12"/>
  <c r="W272" i="12"/>
  <c r="W66" i="12"/>
  <c r="W243" i="12"/>
  <c r="W337" i="12"/>
  <c r="W114" i="12"/>
  <c r="W76" i="12"/>
  <c r="W398" i="12"/>
  <c r="W214" i="12"/>
  <c r="W168" i="12"/>
  <c r="W197" i="12"/>
  <c r="W164" i="12"/>
  <c r="W84" i="12"/>
  <c r="W368" i="12"/>
  <c r="W323" i="12"/>
  <c r="W100" i="12"/>
  <c r="W352" i="12"/>
  <c r="W350" i="12"/>
  <c r="W302" i="12"/>
  <c r="W387" i="12"/>
  <c r="W406" i="12"/>
  <c r="W236" i="12"/>
  <c r="W403" i="12"/>
  <c r="W251" i="12"/>
  <c r="W392" i="12"/>
  <c r="W182" i="12"/>
  <c r="W173" i="12"/>
  <c r="W121" i="12"/>
  <c r="W92" i="12"/>
  <c r="W204" i="12"/>
  <c r="W158" i="12"/>
  <c r="W68" i="12"/>
  <c r="W210" i="12"/>
  <c r="W134" i="12"/>
  <c r="W126" i="12"/>
  <c r="W311" i="12"/>
  <c r="V13" i="9"/>
  <c r="U11" i="9"/>
  <c r="V11" i="9" s="1"/>
  <c r="W414" i="12" l="1"/>
  <c r="X414" i="12"/>
  <c r="T177" i="10"/>
  <c r="V177" i="10" s="1"/>
  <c r="V175" i="10"/>
  <c r="U175" i="10" s="1"/>
  <c r="W177" i="10" l="1"/>
  <c r="X177" i="10" s="1"/>
  <c r="U177" i="10"/>
  <c r="W175" i="10"/>
  <c r="T167" i="10"/>
  <c r="U167" i="10" s="1"/>
  <c r="V167" i="10" l="1"/>
  <c r="W167" i="10" l="1"/>
  <c r="X167" i="10" s="1"/>
  <c r="W169" i="10"/>
  <c r="T171" i="10"/>
  <c r="V171" i="10" s="1"/>
  <c r="U171" i="10" l="1"/>
  <c r="W171" i="10"/>
  <c r="X171" i="10" s="1"/>
  <c r="R63" i="4" l="1"/>
  <c r="S63" i="4" s="1"/>
  <c r="T63" i="4" s="1"/>
  <c r="T138" i="10" l="1"/>
  <c r="V138" i="10" s="1"/>
  <c r="R39" i="4"/>
  <c r="S39" i="4" s="1"/>
  <c r="T39" i="4" s="1"/>
  <c r="U39" i="4" s="1"/>
  <c r="R38" i="4"/>
  <c r="S38" i="4" s="1"/>
  <c r="T38" i="4" s="1"/>
  <c r="R37" i="4"/>
  <c r="S37" i="4" s="1"/>
  <c r="T37" i="4" s="1"/>
  <c r="U37" i="4" s="1"/>
  <c r="T122" i="10"/>
  <c r="V122" i="10" s="1"/>
  <c r="U138" i="10" l="1"/>
  <c r="W138" i="10"/>
  <c r="X138" i="10" s="1"/>
  <c r="U122" i="10"/>
  <c r="W122" i="10"/>
  <c r="X122" i="10" s="1"/>
  <c r="T107" i="10"/>
  <c r="V107" i="10" s="1"/>
  <c r="T105" i="10"/>
  <c r="V105" i="10" s="1"/>
  <c r="W107" i="10" l="1"/>
  <c r="X107" i="10" s="1"/>
  <c r="U107" i="10"/>
  <c r="U105" i="10"/>
  <c r="W105" i="10"/>
  <c r="X105" i="10" s="1"/>
  <c r="T71" i="10" l="1"/>
  <c r="V71" i="10" s="1"/>
  <c r="T70" i="10"/>
  <c r="V70" i="10" s="1"/>
  <c r="T69" i="10"/>
  <c r="V69" i="10" s="1"/>
  <c r="W71" i="10" l="1"/>
  <c r="X71" i="10" s="1"/>
  <c r="U71" i="10"/>
  <c r="W70" i="10"/>
  <c r="X70" i="10" s="1"/>
  <c r="U70" i="10"/>
  <c r="W69" i="10"/>
  <c r="X69" i="10" s="1"/>
  <c r="V35" i="10"/>
  <c r="U35" i="10" s="1"/>
  <c r="W35" i="10" l="1"/>
  <c r="V22" i="10"/>
  <c r="U63" i="11" l="1"/>
  <c r="U45" i="11"/>
  <c r="U43" i="11" l="1"/>
  <c r="U59" i="11"/>
  <c r="U12" i="11"/>
  <c r="U13" i="11"/>
  <c r="U16" i="11"/>
  <c r="U17" i="11"/>
  <c r="U19" i="11"/>
  <c r="U20" i="11"/>
  <c r="U21" i="11"/>
  <c r="U25" i="11"/>
  <c r="U26" i="11"/>
  <c r="U28" i="11"/>
  <c r="U30" i="11"/>
  <c r="U31" i="11"/>
  <c r="U32" i="11"/>
  <c r="U34" i="11"/>
  <c r="U35" i="11"/>
  <c r="U37" i="11"/>
  <c r="U40" i="11"/>
  <c r="U44" i="11"/>
  <c r="U46" i="11"/>
  <c r="U48" i="11"/>
  <c r="U49" i="11"/>
  <c r="U50" i="11"/>
  <c r="U51" i="11"/>
  <c r="U53" i="11"/>
  <c r="U54" i="11"/>
  <c r="U56" i="11"/>
  <c r="U57" i="11"/>
  <c r="U62" i="11"/>
  <c r="U65" i="11"/>
  <c r="U67" i="11"/>
  <c r="U68" i="11"/>
  <c r="U71" i="11"/>
  <c r="U72" i="11"/>
  <c r="U74" i="11"/>
  <c r="U75" i="11"/>
  <c r="U76" i="11"/>
  <c r="U79" i="11"/>
  <c r="U80" i="11"/>
  <c r="U82" i="11"/>
  <c r="U83" i="11"/>
  <c r="U84" i="11"/>
  <c r="U87" i="11"/>
  <c r="U88" i="11"/>
  <c r="V12" i="10"/>
  <c r="U12" i="10" s="1"/>
  <c r="V13" i="10"/>
  <c r="V14" i="10"/>
  <c r="W14" i="10" s="1"/>
  <c r="V15" i="10"/>
  <c r="U15" i="10" s="1"/>
  <c r="V16" i="10"/>
  <c r="W16" i="10" s="1"/>
  <c r="V17" i="10"/>
  <c r="U17" i="10" s="1"/>
  <c r="V18" i="10"/>
  <c r="U18" i="10" s="1"/>
  <c r="V19" i="10"/>
  <c r="U19" i="10" s="1"/>
  <c r="V20" i="10"/>
  <c r="U20" i="10" s="1"/>
  <c r="V21" i="10"/>
  <c r="U21" i="10" s="1"/>
  <c r="W22" i="10"/>
  <c r="V23" i="10"/>
  <c r="U23" i="10" s="1"/>
  <c r="V24" i="10"/>
  <c r="W24" i="10" s="1"/>
  <c r="V25" i="10"/>
  <c r="W25" i="10" s="1"/>
  <c r="V26" i="10"/>
  <c r="U26" i="10" s="1"/>
  <c r="V27" i="10"/>
  <c r="U27" i="10" s="1"/>
  <c r="V28" i="10"/>
  <c r="U28" i="10" s="1"/>
  <c r="V29" i="10"/>
  <c r="U29" i="10" s="1"/>
  <c r="V30" i="10"/>
  <c r="W30" i="10" s="1"/>
  <c r="V31" i="10"/>
  <c r="U31" i="10" s="1"/>
  <c r="V32" i="10"/>
  <c r="U32" i="10" s="1"/>
  <c r="V33" i="10"/>
  <c r="U33" i="10" s="1"/>
  <c r="V34" i="10"/>
  <c r="V36" i="10"/>
  <c r="U36" i="10" s="1"/>
  <c r="V37" i="10"/>
  <c r="U37" i="10" s="1"/>
  <c r="V38" i="10"/>
  <c r="W38" i="10" s="1"/>
  <c r="V39" i="10"/>
  <c r="W39" i="10" s="1"/>
  <c r="V40" i="10"/>
  <c r="U40" i="10" s="1"/>
  <c r="V41" i="10"/>
  <c r="U41" i="10" s="1"/>
  <c r="V42" i="10"/>
  <c r="W42" i="10" s="1"/>
  <c r="V43" i="10"/>
  <c r="U43" i="10" s="1"/>
  <c r="V44" i="10"/>
  <c r="U44" i="10" s="1"/>
  <c r="V45" i="10"/>
  <c r="U45" i="10" s="1"/>
  <c r="V46" i="10"/>
  <c r="W46" i="10" s="1"/>
  <c r="V47" i="10"/>
  <c r="W47" i="10" s="1"/>
  <c r="V48" i="10"/>
  <c r="U48" i="10" s="1"/>
  <c r="V49" i="10"/>
  <c r="U49" i="10" s="1"/>
  <c r="V50" i="10"/>
  <c r="W50" i="10" s="1"/>
  <c r="V51" i="10"/>
  <c r="U51" i="10" s="1"/>
  <c r="V52" i="10"/>
  <c r="U52" i="10" s="1"/>
  <c r="V53" i="10"/>
  <c r="U53" i="10" s="1"/>
  <c r="V54" i="10"/>
  <c r="W54" i="10" s="1"/>
  <c r="V55" i="10"/>
  <c r="W55" i="10" s="1"/>
  <c r="V56" i="10"/>
  <c r="U56" i="10" s="1"/>
  <c r="V57" i="10"/>
  <c r="U57" i="10" s="1"/>
  <c r="V58" i="10"/>
  <c r="W58" i="10" s="1"/>
  <c r="V59" i="10"/>
  <c r="U59" i="10" s="1"/>
  <c r="V60" i="10"/>
  <c r="U60" i="10" s="1"/>
  <c r="V61" i="10"/>
  <c r="U61" i="10" s="1"/>
  <c r="V62" i="10"/>
  <c r="U62" i="10" s="1"/>
  <c r="V63" i="10"/>
  <c r="W63" i="10" s="1"/>
  <c r="V64" i="10"/>
  <c r="U64" i="10" s="1"/>
  <c r="V65" i="10"/>
  <c r="U65" i="10" s="1"/>
  <c r="V66" i="10"/>
  <c r="W66" i="10" s="1"/>
  <c r="V67" i="10"/>
  <c r="U67" i="10" s="1"/>
  <c r="V68" i="10"/>
  <c r="U68" i="10" s="1"/>
  <c r="U69" i="10"/>
  <c r="V72" i="10"/>
  <c r="U72" i="10" s="1"/>
  <c r="V73" i="10"/>
  <c r="U73" i="10" s="1"/>
  <c r="V74" i="10"/>
  <c r="W74" i="10" s="1"/>
  <c r="V75" i="10"/>
  <c r="U75" i="10" s="1"/>
  <c r="V76" i="10"/>
  <c r="U76" i="10" s="1"/>
  <c r="V77" i="10"/>
  <c r="U77" i="10" s="1"/>
  <c r="V78" i="10"/>
  <c r="W78" i="10" s="1"/>
  <c r="V79" i="10"/>
  <c r="U79" i="10" s="1"/>
  <c r="V80" i="10"/>
  <c r="U80" i="10" s="1"/>
  <c r="V81" i="10"/>
  <c r="W81" i="10" s="1"/>
  <c r="V82" i="10"/>
  <c r="U82" i="10" s="1"/>
  <c r="V83" i="10"/>
  <c r="U83" i="10" s="1"/>
  <c r="V84" i="10"/>
  <c r="U84" i="10" s="1"/>
  <c r="V85" i="10"/>
  <c r="W85" i="10" s="1"/>
  <c r="V86" i="10"/>
  <c r="W86" i="10" s="1"/>
  <c r="V87" i="10"/>
  <c r="U87" i="10" s="1"/>
  <c r="V88" i="10"/>
  <c r="U88" i="10" s="1"/>
  <c r="V89" i="10"/>
  <c r="W89" i="10" s="1"/>
  <c r="V90" i="10"/>
  <c r="U90" i="10" s="1"/>
  <c r="V91" i="10"/>
  <c r="U91" i="10" s="1"/>
  <c r="V92" i="10"/>
  <c r="U92" i="10" s="1"/>
  <c r="V93" i="10"/>
  <c r="W93" i="10" s="1"/>
  <c r="V94" i="10"/>
  <c r="W94" i="10" s="1"/>
  <c r="V95" i="10"/>
  <c r="U95" i="10" s="1"/>
  <c r="V96" i="10"/>
  <c r="U96" i="10" s="1"/>
  <c r="V97" i="10"/>
  <c r="W97" i="10" s="1"/>
  <c r="V98" i="10"/>
  <c r="U98" i="10" s="1"/>
  <c r="V99" i="10"/>
  <c r="U99" i="10" s="1"/>
  <c r="V100" i="10"/>
  <c r="U100" i="10" s="1"/>
  <c r="V101" i="10"/>
  <c r="W101" i="10" s="1"/>
  <c r="V102" i="10"/>
  <c r="W102" i="10" s="1"/>
  <c r="V103" i="10"/>
  <c r="U103" i="10" s="1"/>
  <c r="V104" i="10"/>
  <c r="U104" i="10" s="1"/>
  <c r="V106" i="10"/>
  <c r="U106" i="10" s="1"/>
  <c r="V108" i="10"/>
  <c r="U108" i="10" s="1"/>
  <c r="V109" i="10"/>
  <c r="U109" i="10" s="1"/>
  <c r="V110" i="10"/>
  <c r="W110" i="10" s="1"/>
  <c r="V111" i="10"/>
  <c r="U111" i="10" s="1"/>
  <c r="V112" i="10"/>
  <c r="U112" i="10" s="1"/>
  <c r="V113" i="10"/>
  <c r="W113" i="10" s="1"/>
  <c r="V114" i="10"/>
  <c r="U114" i="10" s="1"/>
  <c r="V115" i="10"/>
  <c r="U115" i="10" s="1"/>
  <c r="V116" i="10"/>
  <c r="U116" i="10" s="1"/>
  <c r="V117" i="10"/>
  <c r="U117" i="10" s="1"/>
  <c r="V118" i="10"/>
  <c r="W118" i="10" s="1"/>
  <c r="V119" i="10"/>
  <c r="U119" i="10" s="1"/>
  <c r="V120" i="10"/>
  <c r="U120" i="10" s="1"/>
  <c r="V121" i="10"/>
  <c r="W121" i="10" s="1"/>
  <c r="V123" i="10"/>
  <c r="U123" i="10" s="1"/>
  <c r="V124" i="10"/>
  <c r="U124" i="10" s="1"/>
  <c r="V125" i="10"/>
  <c r="W125" i="10" s="1"/>
  <c r="V126" i="10"/>
  <c r="W126" i="10" s="1"/>
  <c r="V127" i="10"/>
  <c r="U127" i="10" s="1"/>
  <c r="V128" i="10"/>
  <c r="U128" i="10" s="1"/>
  <c r="V129" i="10"/>
  <c r="W129" i="10" s="1"/>
  <c r="V130" i="10"/>
  <c r="U130" i="10" s="1"/>
  <c r="V131" i="10"/>
  <c r="U131" i="10" s="1"/>
  <c r="V132" i="10"/>
  <c r="U132" i="10" s="1"/>
  <c r="V133" i="10"/>
  <c r="W133" i="10" s="1"/>
  <c r="V134" i="10"/>
  <c r="W134" i="10" s="1"/>
  <c r="V135" i="10"/>
  <c r="U135" i="10" s="1"/>
  <c r="V136" i="10"/>
  <c r="W136" i="10" s="1"/>
  <c r="V137" i="10"/>
  <c r="W137" i="10" s="1"/>
  <c r="V139" i="10"/>
  <c r="U139" i="10" s="1"/>
  <c r="W141" i="10"/>
  <c r="W142" i="10"/>
  <c r="W145" i="10"/>
  <c r="W150" i="10"/>
  <c r="W152" i="10"/>
  <c r="W153" i="10"/>
  <c r="W157" i="10"/>
  <c r="W158" i="10"/>
  <c r="W160" i="10"/>
  <c r="W161" i="10"/>
  <c r="W165" i="10"/>
  <c r="W166" i="10"/>
  <c r="W168" i="10"/>
  <c r="V170" i="10"/>
  <c r="U170" i="10" s="1"/>
  <c r="V172" i="10"/>
  <c r="U172" i="10" s="1"/>
  <c r="V173" i="10"/>
  <c r="U173" i="10" s="1"/>
  <c r="V174" i="10"/>
  <c r="W174" i="10" s="1"/>
  <c r="V176" i="10"/>
  <c r="U176" i="10" s="1"/>
  <c r="W119" i="10" l="1"/>
  <c r="W112" i="10"/>
  <c r="U34" i="10"/>
  <c r="U13" i="10"/>
  <c r="W127" i="10"/>
  <c r="W120" i="10"/>
  <c r="W162" i="10"/>
  <c r="W114" i="10"/>
  <c r="W115" i="10"/>
  <c r="W163" i="10"/>
  <c r="W128" i="10"/>
  <c r="W116" i="10"/>
  <c r="W36" i="10"/>
  <c r="U58" i="10"/>
  <c r="W146" i="10"/>
  <c r="W139" i="10"/>
  <c r="W164" i="10"/>
  <c r="W98" i="10"/>
  <c r="W83" i="10"/>
  <c r="W124" i="10"/>
  <c r="W108" i="10"/>
  <c r="U113" i="10"/>
  <c r="W154" i="10"/>
  <c r="W91" i="10"/>
  <c r="W104" i="10"/>
  <c r="W159" i="10"/>
  <c r="W148" i="10"/>
  <c r="W143" i="10"/>
  <c r="W131" i="10"/>
  <c r="W33" i="10"/>
  <c r="W26" i="10"/>
  <c r="W172" i="10"/>
  <c r="W151" i="10"/>
  <c r="W103" i="10"/>
  <c r="W155" i="10"/>
  <c r="W144" i="10"/>
  <c r="W132" i="10"/>
  <c r="U97" i="10"/>
  <c r="W92" i="10"/>
  <c r="U89" i="10"/>
  <c r="W84" i="10"/>
  <c r="U81" i="10"/>
  <c r="W77" i="10"/>
  <c r="U74" i="10"/>
  <c r="W17" i="10"/>
  <c r="U136" i="10"/>
  <c r="W176" i="10"/>
  <c r="W170" i="10"/>
  <c r="W156" i="10"/>
  <c r="W147" i="10"/>
  <c r="W135" i="10"/>
  <c r="W130" i="10"/>
  <c r="W100" i="10"/>
  <c r="W96" i="10"/>
  <c r="W88" i="10"/>
  <c r="W80" i="10"/>
  <c r="W73" i="10"/>
  <c r="W57" i="10"/>
  <c r="W37" i="10"/>
  <c r="W68" i="10"/>
  <c r="W49" i="10"/>
  <c r="W95" i="10"/>
  <c r="W90" i="10"/>
  <c r="W87" i="10"/>
  <c r="W82" i="10"/>
  <c r="W79" i="10"/>
  <c r="W75" i="10"/>
  <c r="W72" i="10"/>
  <c r="W41" i="10"/>
  <c r="W15" i="10"/>
  <c r="W76" i="10"/>
  <c r="U121" i="10"/>
  <c r="W99" i="10"/>
  <c r="U129" i="10"/>
  <c r="U137" i="10"/>
  <c r="W140" i="10"/>
  <c r="W123" i="10"/>
  <c r="W111" i="10"/>
  <c r="W106" i="10"/>
  <c r="W65" i="10"/>
  <c r="W45" i="10"/>
  <c r="U14" i="11"/>
  <c r="U58" i="11"/>
  <c r="W67" i="10"/>
  <c r="U66" i="10"/>
  <c r="W64" i="10"/>
  <c r="W61" i="10"/>
  <c r="W60" i="10"/>
  <c r="W59" i="10"/>
  <c r="W56" i="10"/>
  <c r="W53" i="10"/>
  <c r="W52" i="10"/>
  <c r="W51" i="10"/>
  <c r="U50" i="10"/>
  <c r="W48" i="10"/>
  <c r="W44" i="10"/>
  <c r="W43" i="10"/>
  <c r="U42" i="10"/>
  <c r="W40" i="10"/>
  <c r="W34" i="10"/>
  <c r="W32" i="10"/>
  <c r="W31" i="10"/>
  <c r="W28" i="10"/>
  <c r="W27" i="10"/>
  <c r="U25" i="10"/>
  <c r="U24" i="10"/>
  <c r="W23" i="10"/>
  <c r="W20" i="10"/>
  <c r="U85" i="11"/>
  <c r="U81" i="11"/>
  <c r="U69" i="11"/>
  <c r="U23" i="11"/>
  <c r="U77" i="11"/>
  <c r="U60" i="11"/>
  <c r="W19" i="10"/>
  <c r="W18" i="10"/>
  <c r="U55" i="11"/>
  <c r="U16" i="10"/>
  <c r="U36" i="11"/>
  <c r="U27" i="11"/>
  <c r="W12" i="10"/>
  <c r="U78" i="11"/>
  <c r="U86" i="11"/>
  <c r="U18" i="11"/>
  <c r="U89" i="11"/>
  <c r="U61" i="11"/>
  <c r="U33" i="11"/>
  <c r="U64" i="11"/>
  <c r="U52" i="11"/>
  <c r="U24" i="11"/>
  <c r="U70" i="11"/>
  <c r="U42" i="11"/>
  <c r="U73" i="11"/>
  <c r="U47" i="11"/>
  <c r="U15" i="11"/>
  <c r="U101" i="10"/>
  <c r="U93" i="10"/>
  <c r="U46" i="10"/>
  <c r="U38" i="10"/>
  <c r="U174" i="10"/>
  <c r="U134" i="10"/>
  <c r="U126" i="10"/>
  <c r="U118" i="10"/>
  <c r="U110" i="10"/>
  <c r="U102" i="10"/>
  <c r="U94" i="10"/>
  <c r="U86" i="10"/>
  <c r="U78" i="10"/>
  <c r="U63" i="10"/>
  <c r="U55" i="10"/>
  <c r="U47" i="10"/>
  <c r="U39" i="10"/>
  <c r="U30" i="10"/>
  <c r="U22" i="10"/>
  <c r="U14" i="10"/>
  <c r="U133" i="10"/>
  <c r="U125" i="10"/>
  <c r="U85" i="10"/>
  <c r="U54" i="10"/>
  <c r="W173" i="10"/>
  <c r="W149" i="10"/>
  <c r="W117" i="10"/>
  <c r="W109" i="10"/>
  <c r="W62" i="10"/>
  <c r="W29" i="10"/>
  <c r="W21" i="10"/>
  <c r="W13" i="10"/>
  <c r="Q69" i="4"/>
  <c r="O69" i="4"/>
  <c r="K69" i="4"/>
  <c r="N178" i="10" l="1"/>
  <c r="U63" i="4" l="1"/>
  <c r="R58" i="4" l="1"/>
  <c r="S58" i="4" s="1"/>
  <c r="T58" i="4" s="1"/>
  <c r="R59" i="4"/>
  <c r="S59" i="4" s="1"/>
  <c r="T59" i="4" s="1"/>
  <c r="R60" i="4"/>
  <c r="S60" i="4" s="1"/>
  <c r="T60" i="4" s="1"/>
  <c r="R61" i="4"/>
  <c r="S61" i="4" s="1"/>
  <c r="T61" i="4" s="1"/>
  <c r="R62" i="4"/>
  <c r="S62" i="4" s="1"/>
  <c r="T62" i="4" s="1"/>
  <c r="R64" i="4"/>
  <c r="S64" i="4" s="1"/>
  <c r="T64" i="4" s="1"/>
  <c r="U64" i="4" s="1"/>
  <c r="R65" i="4"/>
  <c r="S65" i="4" s="1"/>
  <c r="T65" i="4" s="1"/>
  <c r="U65" i="4" s="1"/>
  <c r="R66" i="4"/>
  <c r="S66" i="4" s="1"/>
  <c r="T66" i="4" s="1"/>
  <c r="U66" i="4" s="1"/>
  <c r="R67" i="4"/>
  <c r="S67" i="4" s="1"/>
  <c r="T67" i="4" s="1"/>
  <c r="U67" i="4" s="1"/>
  <c r="R68" i="4"/>
  <c r="S68" i="4" s="1"/>
  <c r="T68" i="4" s="1"/>
  <c r="U68" i="4" s="1"/>
  <c r="U58" i="4" l="1"/>
  <c r="T12" i="10" l="1"/>
  <c r="R13" i="9" l="1"/>
  <c r="R11" i="9"/>
  <c r="V14" i="9" l="1"/>
  <c r="X419" i="12" l="1"/>
  <c r="X93" i="11"/>
  <c r="R44" i="4"/>
  <c r="S44" i="4" s="1"/>
  <c r="T44" i="4" s="1"/>
  <c r="T11" i="10" l="1"/>
  <c r="V11" i="10"/>
  <c r="V178" i="10" s="1"/>
  <c r="U11" i="10" l="1"/>
  <c r="W11" i="10"/>
  <c r="W178" i="10" s="1"/>
  <c r="X178" i="10" s="1"/>
  <c r="L14" i="9"/>
  <c r="R14" i="9" l="1"/>
  <c r="S14" i="9"/>
  <c r="T14" i="9" l="1"/>
  <c r="U14" i="9"/>
  <c r="R54" i="4" l="1"/>
  <c r="S54" i="4" s="1"/>
  <c r="T54" i="4" s="1"/>
  <c r="R55" i="4"/>
  <c r="S55" i="4" s="1"/>
  <c r="T55" i="4" s="1"/>
  <c r="R56" i="4"/>
  <c r="S56" i="4" s="1"/>
  <c r="T56" i="4" s="1"/>
  <c r="R57" i="4"/>
  <c r="S57" i="4" s="1"/>
  <c r="T57" i="4" s="1"/>
  <c r="R41" i="4"/>
  <c r="S41" i="4" s="1"/>
  <c r="T41" i="4" s="1"/>
  <c r="R42" i="4"/>
  <c r="S42" i="4" s="1"/>
  <c r="T42" i="4" s="1"/>
  <c r="R43" i="4"/>
  <c r="S43" i="4" s="1"/>
  <c r="T43" i="4" s="1"/>
  <c r="R45" i="4"/>
  <c r="S45" i="4" s="1"/>
  <c r="T45" i="4" s="1"/>
  <c r="R46" i="4"/>
  <c r="S46" i="4" s="1"/>
  <c r="T46" i="4" s="1"/>
  <c r="R47" i="4"/>
  <c r="S47" i="4" s="1"/>
  <c r="T47" i="4" s="1"/>
  <c r="R48" i="4"/>
  <c r="S48" i="4" s="1"/>
  <c r="T48" i="4" s="1"/>
  <c r="R49" i="4"/>
  <c r="S49" i="4" s="1"/>
  <c r="T49" i="4" s="1"/>
  <c r="R50" i="4"/>
  <c r="S50" i="4" s="1"/>
  <c r="T50" i="4" s="1"/>
  <c r="R51" i="4"/>
  <c r="S51" i="4" s="1"/>
  <c r="T51" i="4" s="1"/>
  <c r="R52" i="4"/>
  <c r="S52" i="4" s="1"/>
  <c r="T52" i="4" s="1"/>
  <c r="R53" i="4"/>
  <c r="S53" i="4" s="1"/>
  <c r="T53" i="4" s="1"/>
  <c r="R40" i="4"/>
  <c r="S40" i="4" s="1"/>
  <c r="T40" i="4" s="1"/>
  <c r="U43" i="4" l="1"/>
  <c r="U51" i="4"/>
  <c r="U40" i="4"/>
  <c r="R17" i="4"/>
  <c r="S17" i="4" l="1"/>
  <c r="T17" i="4" l="1"/>
  <c r="R36" i="4"/>
  <c r="S36" i="4" s="1"/>
  <c r="T36" i="4" s="1"/>
  <c r="R35" i="4"/>
  <c r="S35" i="4" s="1"/>
  <c r="T35" i="4" s="1"/>
  <c r="R34" i="4"/>
  <c r="S34" i="4" s="1"/>
  <c r="T34" i="4" s="1"/>
  <c r="R33" i="4"/>
  <c r="S33" i="4" s="1"/>
  <c r="T33" i="4" s="1"/>
  <c r="U33" i="4" s="1"/>
  <c r="R32" i="4"/>
  <c r="S32" i="4" s="1"/>
  <c r="T32" i="4" s="1"/>
  <c r="R31" i="4"/>
  <c r="S31" i="4" s="1"/>
  <c r="T31" i="4" s="1"/>
  <c r="U34" i="4" l="1"/>
  <c r="R20" i="4"/>
  <c r="S20" i="4" s="1"/>
  <c r="T20" i="4" s="1"/>
  <c r="U20" i="4" s="1"/>
  <c r="R30" i="4" l="1"/>
  <c r="S30" i="4" s="1"/>
  <c r="T30" i="4" s="1"/>
  <c r="U30" i="4" s="1"/>
  <c r="R29" i="4"/>
  <c r="S29" i="4" s="1"/>
  <c r="T29" i="4" s="1"/>
  <c r="R28" i="4"/>
  <c r="S28" i="4" s="1"/>
  <c r="T28" i="4" s="1"/>
  <c r="R27" i="4"/>
  <c r="S27" i="4" s="1"/>
  <c r="T27" i="4" s="1"/>
  <c r="R26" i="4"/>
  <c r="S26" i="4" s="1"/>
  <c r="T26" i="4" s="1"/>
  <c r="U26" i="4" s="1"/>
  <c r="R25" i="4"/>
  <c r="S25" i="4" s="1"/>
  <c r="T25" i="4" s="1"/>
  <c r="R24" i="4"/>
  <c r="S24" i="4" s="1"/>
  <c r="T24" i="4" s="1"/>
  <c r="R23" i="4"/>
  <c r="S23" i="4" s="1"/>
  <c r="T23" i="4" s="1"/>
  <c r="R22" i="4"/>
  <c r="S22" i="4" s="1"/>
  <c r="T22" i="4" s="1"/>
  <c r="R21" i="4"/>
  <c r="S21" i="4" s="1"/>
  <c r="T21" i="4" s="1"/>
  <c r="R19" i="4"/>
  <c r="S19" i="4" s="1"/>
  <c r="T19" i="4" s="1"/>
  <c r="R18" i="4"/>
  <c r="U27" i="4" l="1"/>
  <c r="U21" i="4"/>
  <c r="U23" i="4"/>
  <c r="S18" i="4"/>
  <c r="R69" i="4"/>
  <c r="J69" i="4"/>
  <c r="T18" i="4" l="1"/>
  <c r="U17" i="4" s="1"/>
  <c r="S69" i="4"/>
  <c r="P69" i="4"/>
  <c r="N69" i="4"/>
  <c r="T69" i="4" l="1"/>
  <c r="U69" i="4" s="1"/>
  <c r="M69" i="4"/>
</calcChain>
</file>

<file path=xl/sharedStrings.xml><?xml version="1.0" encoding="utf-8"?>
<sst xmlns="http://schemas.openxmlformats.org/spreadsheetml/2006/main" count="7667" uniqueCount="2988">
  <si>
    <t>ບໍລິສັດ ເອັນທີພີ ການຄ້ານ້ຳມັນເຊື້ອໄຟ ຈຳກັດ</t>
    <phoneticPr fontId="4"/>
  </si>
  <si>
    <t>ທີ່ຢູ່: ບ້ານ ດົງຫລວງ ເມືອງ ນາຊາຍທອງ, ນະຄອນຫລວງວຽງຈັນ</t>
  </si>
  <si>
    <t>ໂທ:030 5888885</t>
  </si>
  <si>
    <t>ລ/ດ</t>
  </si>
  <si>
    <t>ຊືີ່ລູກຄ້າ</t>
    <phoneticPr fontId="6" type="noConversion"/>
  </si>
  <si>
    <t>ປະເພດນ້ຳມັນ</t>
  </si>
  <si>
    <t>ຊະນິດນໍ້າມັນ</t>
  </si>
  <si>
    <t xml:space="preserve">  ເລກປະຈຳຕົວຜູ້  ເສຍອາກອນ</t>
    <phoneticPr fontId="6" type="noConversion"/>
  </si>
  <si>
    <t>ເລກທີ່ໃບຂົນສົ່ງສິນຄ້າ</t>
    <phoneticPr fontId="4"/>
  </si>
  <si>
    <t>ເລກທີ່ໃບອີນວອຍ</t>
    <phoneticPr fontId="4"/>
  </si>
  <si>
    <t>ວັນທີອອກອິນ ວອຍ</t>
  </si>
  <si>
    <t>​ເລກ​ທີ​
ບິນອາກອນ</t>
  </si>
  <si>
    <t>​ອມ​ພ 10%</t>
    <phoneticPr fontId="3"/>
  </si>
  <si>
    <t>ຍອດລວມ(ເສຍພາສີ)</t>
  </si>
  <si>
    <t>ຍອດລວມທັງໝົດ</t>
  </si>
  <si>
    <t>ລວມຍອດທັງຫມົດ :</t>
  </si>
  <si>
    <t>ອໍານວຍການບໍລິສັດ</t>
    <phoneticPr fontId="3"/>
  </si>
  <si>
    <t xml:space="preserve">   ເລກທີ      ໃບອິນວ໋ອຍ</t>
    <phoneticPr fontId="6" type="noConversion"/>
  </si>
  <si>
    <t xml:space="preserve">ລາຍການສິນຄ້າ </t>
    <phoneticPr fontId="3"/>
  </si>
  <si>
    <t xml:space="preserve"> DRUM </t>
    <phoneticPr fontId="3"/>
  </si>
  <si>
    <t>PAIL</t>
    <phoneticPr fontId="3"/>
  </si>
  <si>
    <t>Carton</t>
    <phoneticPr fontId="3"/>
  </si>
  <si>
    <t>Gallon</t>
    <phoneticPr fontId="3"/>
  </si>
  <si>
    <t>ເປັນເງີນ THB</t>
    <phoneticPr fontId="3"/>
  </si>
  <si>
    <t>ເປັນເງີນ USB</t>
    <phoneticPr fontId="3"/>
  </si>
  <si>
    <t>ລາຄາບໍ່ລວມ​ ອມ​ພ</t>
    <phoneticPr fontId="3"/>
  </si>
  <si>
    <t>ຫົວໜ້າພະແນກບັນຊີ</t>
    <phoneticPr fontId="3"/>
  </si>
  <si>
    <t xml:space="preserve">ຜູ້ສັງລວມ </t>
    <phoneticPr fontId="3"/>
  </si>
  <si>
    <t>ຫົວໜ້າພະແນກບັນຊີ</t>
    <phoneticPr fontId="4"/>
  </si>
  <si>
    <t>ໂຄງສ້າງລັດຖະບານ</t>
  </si>
  <si>
    <t>ວັນທີ</t>
  </si>
  <si>
    <t>ເລກທີ</t>
  </si>
  <si>
    <t>ອມພ ມອບຕື່ມ</t>
  </si>
  <si>
    <t>ສ່ວນຫຼຸດ</t>
  </si>
  <si>
    <t>ລາຄາຂາຍຕົວຈິງ (ລວມ ອມພ)</t>
  </si>
  <si>
    <t>ສາງ</t>
  </si>
  <si>
    <t xml:space="preserve">ລາຄາໂຄງສ້າງ </t>
  </si>
  <si>
    <t>PO ລູກຄ້າ</t>
  </si>
  <si>
    <t>ວັນທີ ອອກເອກະສານ</t>
  </si>
  <si>
    <t>ເລກທີໃບສັ່ງຂາຍ ( SO )</t>
  </si>
  <si>
    <t>ຈໍານວນເງິນ ບໍ່ລວມ​ ອມ​ພ</t>
  </si>
  <si>
    <t>ລາຄາບໍ່ລວມ ອມພ</t>
  </si>
  <si>
    <t>ຍອດລວມທັງໝົດ (ລວມ ອມພ)</t>
  </si>
  <si>
    <t>ກາຊວນ</t>
    <phoneticPr fontId="3"/>
  </si>
  <si>
    <t>ຄັ້ງ</t>
    <phoneticPr fontId="3"/>
  </si>
  <si>
    <t>ວັນທີ່ອອກເອກະສານ           ( SO )</t>
    <phoneticPr fontId="3"/>
  </si>
  <si>
    <t xml:space="preserve">ຜູ້ສັງລວມ </t>
    <phoneticPr fontId="4"/>
  </si>
  <si>
    <t>ຈຳນວນລີດ</t>
    <phoneticPr fontId="3"/>
  </si>
  <si>
    <t>XYBY</t>
    <phoneticPr fontId="3"/>
  </si>
  <si>
    <t>887131456-0-00</t>
  </si>
  <si>
    <t>ບໍລິສັດ ເອັນທີພີ ຈຳໜ່າຍພາຍໃນນ້ຳມັນເຊື້ອໄຟ ຈຳກັດ</t>
    <phoneticPr fontId="3"/>
  </si>
  <si>
    <t>TAX</t>
    <phoneticPr fontId="3"/>
  </si>
  <si>
    <t>VTE</t>
    <phoneticPr fontId="3"/>
  </si>
  <si>
    <t>KM</t>
    <phoneticPr fontId="3"/>
  </si>
  <si>
    <t>LNT</t>
    <phoneticPr fontId="3"/>
  </si>
  <si>
    <t>SVK</t>
    <phoneticPr fontId="3"/>
  </si>
  <si>
    <t>546578734-0-00</t>
    <phoneticPr fontId="3"/>
  </si>
  <si>
    <t>ບໍລິສັດ ໄຟຟ້າຫົງສາ ຈຳກັດ</t>
    <phoneticPr fontId="3"/>
  </si>
  <si>
    <t>1</t>
    <phoneticPr fontId="3"/>
  </si>
  <si>
    <t>542762401-9-00</t>
  </si>
  <si>
    <t>[130356] NUTO H 68, 208LT, DR, MET</t>
  </si>
  <si>
    <t>BLKX</t>
    <phoneticPr fontId="3"/>
  </si>
  <si>
    <t>3</t>
    <phoneticPr fontId="3"/>
  </si>
  <si>
    <t xml:space="preserve">        ສະຫຼຸບບິນຂາຍນໍ້າມັນໃສ ກາຊວນ+ແອັດຊັງ 91 ປະຈຳເດືອນ 06/2026</t>
    <phoneticPr fontId="3"/>
  </si>
  <si>
    <t>ບໍລິສັດ ບອດຕ໌ລອງເຢຍ ຈໍາກັດຜູ້ດຽວ</t>
  </si>
  <si>
    <t>[144722] M-DEL MODERN  15W40 SD  DRUM 208LT</t>
  </si>
  <si>
    <t>482080671-0-00</t>
    <phoneticPr fontId="3"/>
  </si>
  <si>
    <t>852057219-0-00</t>
    <phoneticPr fontId="3"/>
  </si>
  <si>
    <t>2</t>
    <phoneticPr fontId="3"/>
  </si>
  <si>
    <t>[122151] MOBIL RARUS 424  208LT  DR</t>
  </si>
  <si>
    <t>[142037] MOBIL DTE 25 ULTRA,DRUM 208L:SG</t>
  </si>
  <si>
    <t>[139821] M-RARUS SHC 1026 DRUM-M 208L</t>
  </si>
  <si>
    <t>2606-4427</t>
    <phoneticPr fontId="3"/>
  </si>
  <si>
    <t>1131/ກຄພນ</t>
  </si>
  <si>
    <t>[120265] MOBILUBE HD 85W140  208LT  DR</t>
  </si>
  <si>
    <t>[140149] MOBILGREASE XHP 222 DRUM 180KG:SG</t>
  </si>
  <si>
    <t>4</t>
    <phoneticPr fontId="3"/>
  </si>
  <si>
    <t xml:space="preserve">ໝາຍເຫດ:  ມີສ່ວນຕ່າງຈາກອັດຕາແລກປ່ຽນ 177.52 ກີບ </t>
    <phoneticPr fontId="3"/>
  </si>
  <si>
    <t>ສະຫຼຸບບິນຂາຍນໍ້າມັນເຄື່ອງ ປະຈຳເດືອນ 07/2025</t>
    <phoneticPr fontId="6" type="noConversion"/>
  </si>
  <si>
    <t xml:space="preserve">        ສະຫຼຸບບິນຂາຍນໍ້າມັນໃສ ກາຊວນ+ແອັດຊັງ 91 ປະຈຳເດືອນ 07/2026</t>
    <phoneticPr fontId="3"/>
  </si>
  <si>
    <t>42755280-9-00</t>
    <phoneticPr fontId="3"/>
  </si>
  <si>
    <t>WH1/1642</t>
    <phoneticPr fontId="3"/>
  </si>
  <si>
    <t>2607-4780</t>
    <phoneticPr fontId="3"/>
  </si>
  <si>
    <t>016670</t>
    <phoneticPr fontId="3"/>
  </si>
  <si>
    <t>WH8/00082</t>
    <phoneticPr fontId="3"/>
  </si>
  <si>
    <t>2607-4781</t>
    <phoneticPr fontId="3"/>
  </si>
  <si>
    <t>2607-4422</t>
    <phoneticPr fontId="3"/>
  </si>
  <si>
    <t>01/07/2026</t>
  </si>
  <si>
    <t>01/07/2026</t>
    <phoneticPr fontId="3"/>
  </si>
  <si>
    <t>02522</t>
    <phoneticPr fontId="3"/>
  </si>
  <si>
    <t>WH8/00081</t>
    <phoneticPr fontId="3"/>
  </si>
  <si>
    <t>2607-4782</t>
  </si>
  <si>
    <t>2607-4420</t>
    <phoneticPr fontId="3"/>
  </si>
  <si>
    <t>02521</t>
    <phoneticPr fontId="3"/>
  </si>
  <si>
    <t>WH8/00083</t>
    <phoneticPr fontId="3"/>
  </si>
  <si>
    <t>2607-4786</t>
    <phoneticPr fontId="3"/>
  </si>
  <si>
    <t>2607-4424</t>
    <phoneticPr fontId="3"/>
  </si>
  <si>
    <t>02525</t>
    <phoneticPr fontId="3"/>
  </si>
  <si>
    <t>WH6/0350</t>
    <phoneticPr fontId="3"/>
  </si>
  <si>
    <t>2607-4788</t>
    <phoneticPr fontId="3"/>
  </si>
  <si>
    <t>02527</t>
    <phoneticPr fontId="3"/>
  </si>
  <si>
    <t>WH1/1643</t>
    <phoneticPr fontId="3"/>
  </si>
  <si>
    <t>2607-4789</t>
  </si>
  <si>
    <t>2607-4791</t>
  </si>
  <si>
    <t>2607-4792</t>
  </si>
  <si>
    <t>2606-4428</t>
    <phoneticPr fontId="3"/>
  </si>
  <si>
    <t>02529</t>
    <phoneticPr fontId="3"/>
  </si>
  <si>
    <t>542762401-9-00</t>
    <phoneticPr fontId="3"/>
  </si>
  <si>
    <t>WH7/1478</t>
    <phoneticPr fontId="3"/>
  </si>
  <si>
    <t>2607-4425</t>
    <phoneticPr fontId="3"/>
  </si>
  <si>
    <t>0016677</t>
    <phoneticPr fontId="3"/>
  </si>
  <si>
    <t>WH1/1644</t>
    <phoneticPr fontId="3"/>
  </si>
  <si>
    <t>016674</t>
    <phoneticPr fontId="3"/>
  </si>
  <si>
    <t>016678</t>
    <phoneticPr fontId="3"/>
  </si>
  <si>
    <t>2607-4430</t>
    <phoneticPr fontId="3"/>
  </si>
  <si>
    <t>02531</t>
    <phoneticPr fontId="3"/>
  </si>
  <si>
    <t>2607-4793</t>
  </si>
  <si>
    <t>WH1/1645</t>
    <phoneticPr fontId="3"/>
  </si>
  <si>
    <t>016679</t>
  </si>
  <si>
    <t>2607-4431</t>
    <phoneticPr fontId="3"/>
  </si>
  <si>
    <t>02532</t>
    <phoneticPr fontId="3"/>
  </si>
  <si>
    <t>WH1/1646</t>
    <phoneticPr fontId="3"/>
  </si>
  <si>
    <t>016680</t>
    <phoneticPr fontId="3"/>
  </si>
  <si>
    <t>2607-4432</t>
    <phoneticPr fontId="3"/>
  </si>
  <si>
    <t>02533</t>
    <phoneticPr fontId="3"/>
  </si>
  <si>
    <t>2607-4794</t>
  </si>
  <si>
    <t>2607-4795</t>
  </si>
  <si>
    <t>2607-4796</t>
  </si>
  <si>
    <t>2607-4797</t>
  </si>
  <si>
    <t>2607-4798</t>
  </si>
  <si>
    <t>2607-4800</t>
  </si>
  <si>
    <t>WH2/1103</t>
    <phoneticPr fontId="3"/>
  </si>
  <si>
    <t>2607-4429</t>
    <phoneticPr fontId="3"/>
  </si>
  <si>
    <t>02530</t>
    <phoneticPr fontId="3"/>
  </si>
  <si>
    <t>WH6/0351</t>
    <phoneticPr fontId="3"/>
  </si>
  <si>
    <t>2607-4433</t>
    <phoneticPr fontId="3"/>
  </si>
  <si>
    <t>02534</t>
    <phoneticPr fontId="3"/>
  </si>
  <si>
    <t>WH2/1104</t>
    <phoneticPr fontId="3"/>
  </si>
  <si>
    <t>2607-4436</t>
    <phoneticPr fontId="3"/>
  </si>
  <si>
    <t>02537</t>
    <phoneticPr fontId="3"/>
  </si>
  <si>
    <t>WH1/1650</t>
    <phoneticPr fontId="3"/>
  </si>
  <si>
    <t>016684</t>
    <phoneticPr fontId="3"/>
  </si>
  <si>
    <t>2607-4439</t>
    <phoneticPr fontId="3"/>
  </si>
  <si>
    <t>02538</t>
    <phoneticPr fontId="3"/>
  </si>
  <si>
    <t>WH1/1648</t>
    <phoneticPr fontId="3"/>
  </si>
  <si>
    <t>016685</t>
    <phoneticPr fontId="3"/>
  </si>
  <si>
    <t>2607-4435</t>
    <phoneticPr fontId="3"/>
  </si>
  <si>
    <t>02536</t>
    <phoneticPr fontId="3"/>
  </si>
  <si>
    <t>WH1/1647</t>
    <phoneticPr fontId="3"/>
  </si>
  <si>
    <t>016686</t>
    <phoneticPr fontId="3"/>
  </si>
  <si>
    <t>2607-4434</t>
    <phoneticPr fontId="3"/>
  </si>
  <si>
    <t>02535</t>
    <phoneticPr fontId="3"/>
  </si>
  <si>
    <t>2607-4802</t>
    <phoneticPr fontId="3"/>
  </si>
  <si>
    <t>WH2/1106</t>
    <phoneticPr fontId="3"/>
  </si>
  <si>
    <t>2607-4445</t>
    <phoneticPr fontId="3"/>
  </si>
  <si>
    <t>02/07/2026</t>
  </si>
  <si>
    <t>02/07/2026</t>
    <phoneticPr fontId="3"/>
  </si>
  <si>
    <t>02541</t>
    <phoneticPr fontId="3"/>
  </si>
  <si>
    <t>WH7/1480</t>
    <phoneticPr fontId="3"/>
  </si>
  <si>
    <t>2607-4803</t>
    <phoneticPr fontId="3"/>
  </si>
  <si>
    <t>0016691</t>
    <phoneticPr fontId="3"/>
  </si>
  <si>
    <t>2607-4447</t>
    <phoneticPr fontId="3"/>
  </si>
  <si>
    <t>WH7/1479</t>
    <phoneticPr fontId="3"/>
  </si>
  <si>
    <t>2607-4804</t>
  </si>
  <si>
    <t>0016692</t>
  </si>
  <si>
    <t>2607-4446</t>
    <phoneticPr fontId="3"/>
  </si>
  <si>
    <t>WH2/1107</t>
    <phoneticPr fontId="3"/>
  </si>
  <si>
    <t>2607-4805</t>
    <phoneticPr fontId="3"/>
  </si>
  <si>
    <t>2607-4451</t>
    <phoneticPr fontId="3"/>
  </si>
  <si>
    <t>02542</t>
    <phoneticPr fontId="3"/>
  </si>
  <si>
    <t>WH7/1482</t>
    <phoneticPr fontId="3"/>
  </si>
  <si>
    <t>2607-4806</t>
    <phoneticPr fontId="3"/>
  </si>
  <si>
    <t>0016693</t>
    <phoneticPr fontId="3"/>
  </si>
  <si>
    <t>2607-4449</t>
    <phoneticPr fontId="3"/>
  </si>
  <si>
    <t>WH3/0547</t>
    <phoneticPr fontId="3"/>
  </si>
  <si>
    <t>2607-4808</t>
    <phoneticPr fontId="3"/>
  </si>
  <si>
    <t>2607-4455</t>
    <phoneticPr fontId="3"/>
  </si>
  <si>
    <t>02546</t>
    <phoneticPr fontId="3"/>
  </si>
  <si>
    <t>WH3/0548</t>
    <phoneticPr fontId="3"/>
  </si>
  <si>
    <t>2607-4809</t>
  </si>
  <si>
    <t>2607-4810</t>
  </si>
  <si>
    <t>2607-4811</t>
  </si>
  <si>
    <t>2607-4812</t>
  </si>
  <si>
    <t>2607-4813</t>
  </si>
  <si>
    <t>2607-4458</t>
    <phoneticPr fontId="3"/>
  </si>
  <si>
    <t>02545</t>
    <phoneticPr fontId="3"/>
  </si>
  <si>
    <t>WH2/1109</t>
    <phoneticPr fontId="3"/>
  </si>
  <si>
    <t>2607-4460</t>
    <phoneticPr fontId="3"/>
  </si>
  <si>
    <t>02548</t>
    <phoneticPr fontId="3"/>
  </si>
  <si>
    <t>WH1/1654</t>
    <phoneticPr fontId="3"/>
  </si>
  <si>
    <t>016695</t>
    <phoneticPr fontId="3"/>
  </si>
  <si>
    <t>2607-4452</t>
    <phoneticPr fontId="3"/>
  </si>
  <si>
    <t>02544</t>
    <phoneticPr fontId="3"/>
  </si>
  <si>
    <t>WH2/1108</t>
    <phoneticPr fontId="3"/>
  </si>
  <si>
    <t>2607-4459</t>
    <phoneticPr fontId="3"/>
  </si>
  <si>
    <t>02547</t>
    <phoneticPr fontId="3"/>
  </si>
  <si>
    <t>WH1/1652</t>
    <phoneticPr fontId="3"/>
  </si>
  <si>
    <t>016696</t>
    <phoneticPr fontId="3"/>
  </si>
  <si>
    <t>2607-4444</t>
    <phoneticPr fontId="3"/>
  </si>
  <si>
    <t>02526</t>
    <phoneticPr fontId="3"/>
  </si>
  <si>
    <t>2607-4814</t>
  </si>
  <si>
    <t>2607-4815</t>
  </si>
  <si>
    <t>2607-4816</t>
  </si>
  <si>
    <t>WH1/1651</t>
    <phoneticPr fontId="3"/>
  </si>
  <si>
    <t>01697</t>
    <phoneticPr fontId="3"/>
  </si>
  <si>
    <t>2607-4443</t>
    <phoneticPr fontId="3"/>
  </si>
  <si>
    <t>02540</t>
    <phoneticPr fontId="3"/>
  </si>
  <si>
    <t>WH6/0353</t>
    <phoneticPr fontId="3"/>
  </si>
  <si>
    <t>2607-4461</t>
    <phoneticPr fontId="3"/>
  </si>
  <si>
    <t>02549</t>
    <phoneticPr fontId="3"/>
  </si>
  <si>
    <t>WH6/0352</t>
    <phoneticPr fontId="3"/>
  </si>
  <si>
    <t>02550</t>
    <phoneticPr fontId="3"/>
  </si>
  <si>
    <t>2607-4462</t>
    <phoneticPr fontId="3"/>
  </si>
  <si>
    <t>ບໍລິສັດ ສົມໃຈຫຼັກ10(ຈຳໜ໋າຍນ້ຳມັນພາຍໃນ) ຈຳກັດຜູ້ດຽວ</t>
    <phoneticPr fontId="3"/>
  </si>
  <si>
    <t>WH2/1110</t>
    <phoneticPr fontId="3"/>
  </si>
  <si>
    <t>2607-4818</t>
  </si>
  <si>
    <t>2607-4817</t>
  </si>
  <si>
    <t>2607-4442</t>
    <phoneticPr fontId="3"/>
  </si>
  <si>
    <t>200SCH.KM10</t>
    <phoneticPr fontId="3"/>
  </si>
  <si>
    <t>WH2/1105</t>
    <phoneticPr fontId="3"/>
  </si>
  <si>
    <t>ບໍລິສັດ ໄທດິວ (ລາວ) ຈຳກັດຜູ້ດຽວ</t>
    <phoneticPr fontId="3"/>
  </si>
  <si>
    <t>2607-4819</t>
    <phoneticPr fontId="3"/>
  </si>
  <si>
    <t>016703</t>
    <phoneticPr fontId="3"/>
  </si>
  <si>
    <t>WH1/1659</t>
    <phoneticPr fontId="3"/>
  </si>
  <si>
    <t>2607-4820</t>
    <phoneticPr fontId="3"/>
  </si>
  <si>
    <t>016702</t>
    <phoneticPr fontId="3"/>
  </si>
  <si>
    <t>2607-4465</t>
    <phoneticPr fontId="3"/>
  </si>
  <si>
    <t>02551</t>
    <phoneticPr fontId="3"/>
  </si>
  <si>
    <t>[130354] NUTO H 46, 208LT, DR, MET</t>
  </si>
  <si>
    <t>WH1/1660</t>
    <phoneticPr fontId="3"/>
  </si>
  <si>
    <t>2607-4821</t>
    <phoneticPr fontId="3"/>
  </si>
  <si>
    <t>016705</t>
    <phoneticPr fontId="3"/>
  </si>
  <si>
    <t>WH1/1661</t>
    <phoneticPr fontId="3"/>
  </si>
  <si>
    <t>2607-4822</t>
    <phoneticPr fontId="3"/>
  </si>
  <si>
    <t>016707</t>
    <phoneticPr fontId="3"/>
  </si>
  <si>
    <t>2607-4467</t>
    <phoneticPr fontId="3"/>
  </si>
  <si>
    <t>02552</t>
    <phoneticPr fontId="3"/>
  </si>
  <si>
    <t>ບໍລິສັດ ທີດີ ລາວ ແລະ ເອັມວີດີຊີ ຮ່ວມທຶນ ຈຳກັດ</t>
    <phoneticPr fontId="3"/>
  </si>
  <si>
    <t>WH1/1662</t>
    <phoneticPr fontId="3"/>
  </si>
  <si>
    <t>2607-4823</t>
    <phoneticPr fontId="3"/>
  </si>
  <si>
    <t>016709</t>
    <phoneticPr fontId="3"/>
  </si>
  <si>
    <t>9</t>
    <phoneticPr fontId="3"/>
  </si>
  <si>
    <t>WH7/1481</t>
    <phoneticPr fontId="3"/>
  </si>
  <si>
    <t>2607-4825</t>
    <phoneticPr fontId="3"/>
  </si>
  <si>
    <t>0016710</t>
    <phoneticPr fontId="3"/>
  </si>
  <si>
    <t>2607-4448</t>
    <phoneticPr fontId="3"/>
  </si>
  <si>
    <t>2607-4826</t>
    <phoneticPr fontId="3"/>
  </si>
  <si>
    <t>0016711</t>
    <phoneticPr fontId="3"/>
  </si>
  <si>
    <t>2607-4457</t>
    <phoneticPr fontId="3"/>
  </si>
  <si>
    <t>2607-4828</t>
    <phoneticPr fontId="3"/>
  </si>
  <si>
    <t>0016712</t>
    <phoneticPr fontId="3"/>
  </si>
  <si>
    <t>2607-4456</t>
    <phoneticPr fontId="3"/>
  </si>
  <si>
    <t>WH6/0354</t>
    <phoneticPr fontId="3"/>
  </si>
  <si>
    <t>2607-4829</t>
    <phoneticPr fontId="3"/>
  </si>
  <si>
    <t>2607-4470</t>
    <phoneticPr fontId="3"/>
  </si>
  <si>
    <t>02556</t>
    <phoneticPr fontId="3"/>
  </si>
  <si>
    <t>WH1/1663</t>
    <phoneticPr fontId="3"/>
  </si>
  <si>
    <t>2607-4831</t>
    <phoneticPr fontId="3"/>
  </si>
  <si>
    <t>016713</t>
    <phoneticPr fontId="3"/>
  </si>
  <si>
    <t>2607-4473</t>
    <phoneticPr fontId="3"/>
  </si>
  <si>
    <t>02557</t>
    <phoneticPr fontId="3"/>
  </si>
  <si>
    <t>WH6/0355</t>
    <phoneticPr fontId="3"/>
  </si>
  <si>
    <t>2607-4832</t>
    <phoneticPr fontId="3"/>
  </si>
  <si>
    <t>2607-4472</t>
    <phoneticPr fontId="3"/>
  </si>
  <si>
    <t>02558</t>
    <phoneticPr fontId="3"/>
  </si>
  <si>
    <t>WH2/1113</t>
    <phoneticPr fontId="3"/>
  </si>
  <si>
    <t>2607-4833</t>
    <phoneticPr fontId="3"/>
  </si>
  <si>
    <t>2607-4474</t>
    <phoneticPr fontId="3"/>
  </si>
  <si>
    <t>02560</t>
    <phoneticPr fontId="3"/>
  </si>
  <si>
    <t>WH6/0356</t>
    <phoneticPr fontId="3"/>
  </si>
  <si>
    <t>2607-4834</t>
    <phoneticPr fontId="3"/>
  </si>
  <si>
    <t>2607-4475</t>
    <phoneticPr fontId="3"/>
  </si>
  <si>
    <t>02561</t>
    <phoneticPr fontId="3"/>
  </si>
  <si>
    <t>WH1/1664</t>
    <phoneticPr fontId="3"/>
  </si>
  <si>
    <t>2607-4835</t>
    <phoneticPr fontId="3"/>
  </si>
  <si>
    <t>2607-4476</t>
    <phoneticPr fontId="3"/>
  </si>
  <si>
    <t>02559</t>
    <phoneticPr fontId="3"/>
  </si>
  <si>
    <t>WH1/1665</t>
    <phoneticPr fontId="3"/>
  </si>
  <si>
    <t>2607-4836</t>
    <phoneticPr fontId="3"/>
  </si>
  <si>
    <t>016719</t>
    <phoneticPr fontId="3"/>
  </si>
  <si>
    <t>016723</t>
    <phoneticPr fontId="3"/>
  </si>
  <si>
    <t>2607-4477</t>
    <phoneticPr fontId="3"/>
  </si>
  <si>
    <t>02562</t>
    <phoneticPr fontId="3"/>
  </si>
  <si>
    <t>WH2/1114</t>
    <phoneticPr fontId="3"/>
  </si>
  <si>
    <t>2607-4837</t>
    <phoneticPr fontId="3"/>
  </si>
  <si>
    <t>2607-4480</t>
    <phoneticPr fontId="3"/>
  </si>
  <si>
    <t>1198/ກຄພນ</t>
  </si>
  <si>
    <t>1198/ກຄພນ</t>
    <phoneticPr fontId="3"/>
  </si>
  <si>
    <t>WH1/1666</t>
    <phoneticPr fontId="3"/>
  </si>
  <si>
    <t>2607-4838</t>
    <phoneticPr fontId="3"/>
  </si>
  <si>
    <t>016724</t>
    <phoneticPr fontId="3"/>
  </si>
  <si>
    <t>02564</t>
    <phoneticPr fontId="3"/>
  </si>
  <si>
    <t>02565</t>
    <phoneticPr fontId="3"/>
  </si>
  <si>
    <t>WH1/1667</t>
    <phoneticPr fontId="3"/>
  </si>
  <si>
    <t>2607-4482</t>
    <phoneticPr fontId="3"/>
  </si>
  <si>
    <t>016726</t>
    <phoneticPr fontId="3"/>
  </si>
  <si>
    <t>2607-4481</t>
  </si>
  <si>
    <t>02566</t>
    <phoneticPr fontId="3"/>
  </si>
  <si>
    <t>WH1/1668</t>
    <phoneticPr fontId="3"/>
  </si>
  <si>
    <t>2607-4483</t>
    <phoneticPr fontId="3"/>
  </si>
  <si>
    <t>016727</t>
    <phoneticPr fontId="3"/>
  </si>
  <si>
    <t>02567</t>
    <phoneticPr fontId="3"/>
  </si>
  <si>
    <t>WH2/1115</t>
    <phoneticPr fontId="3"/>
  </si>
  <si>
    <t>2607-4484</t>
    <phoneticPr fontId="3"/>
  </si>
  <si>
    <t>02568</t>
    <phoneticPr fontId="3"/>
  </si>
  <si>
    <t>WH7/0485</t>
    <phoneticPr fontId="3"/>
  </si>
  <si>
    <t>WH7/1484</t>
    <phoneticPr fontId="3"/>
  </si>
  <si>
    <t>WH7/1483</t>
    <phoneticPr fontId="3"/>
  </si>
  <si>
    <t>2607-4842</t>
    <phoneticPr fontId="3"/>
  </si>
  <si>
    <t>0016728</t>
    <phoneticPr fontId="3"/>
  </si>
  <si>
    <t>2607-4478</t>
    <phoneticPr fontId="3"/>
  </si>
  <si>
    <t>WH7/1486</t>
    <phoneticPr fontId="3"/>
  </si>
  <si>
    <t>2607-4843</t>
    <phoneticPr fontId="3"/>
  </si>
  <si>
    <t>0016729</t>
    <phoneticPr fontId="3"/>
  </si>
  <si>
    <t>2607-4479</t>
    <phoneticPr fontId="3"/>
  </si>
  <si>
    <t>WH2/1117</t>
    <phoneticPr fontId="3"/>
  </si>
  <si>
    <t>2607-4839</t>
  </si>
  <si>
    <t>2607-4840</t>
  </si>
  <si>
    <t>2607-4841</t>
  </si>
  <si>
    <t>2607-4844</t>
    <phoneticPr fontId="3"/>
  </si>
  <si>
    <t>2607-4488</t>
    <phoneticPr fontId="3"/>
  </si>
  <si>
    <t>02572</t>
    <phoneticPr fontId="3"/>
  </si>
  <si>
    <t>WH2/1116</t>
    <phoneticPr fontId="3"/>
  </si>
  <si>
    <t>2607-4845</t>
    <phoneticPr fontId="3"/>
  </si>
  <si>
    <t>2607-4485</t>
    <phoneticPr fontId="3"/>
  </si>
  <si>
    <t>02569</t>
    <phoneticPr fontId="3"/>
  </si>
  <si>
    <t>WH1/1669</t>
    <phoneticPr fontId="3"/>
  </si>
  <si>
    <t>2607-4847</t>
    <phoneticPr fontId="3"/>
  </si>
  <si>
    <t>2607-4486</t>
    <phoneticPr fontId="3"/>
  </si>
  <si>
    <t>02571</t>
    <phoneticPr fontId="3"/>
  </si>
  <si>
    <t>WH1/1670</t>
    <phoneticPr fontId="3"/>
  </si>
  <si>
    <t>2607-4846</t>
    <phoneticPr fontId="3"/>
  </si>
  <si>
    <t>016730</t>
    <phoneticPr fontId="3"/>
  </si>
  <si>
    <t>2607-4487</t>
    <phoneticPr fontId="3"/>
  </si>
  <si>
    <t>02570</t>
    <phoneticPr fontId="3"/>
  </si>
  <si>
    <t>WH6/0357</t>
    <phoneticPr fontId="3"/>
  </si>
  <si>
    <t>2607-4848</t>
    <phoneticPr fontId="3"/>
  </si>
  <si>
    <t>2607-4490</t>
    <phoneticPr fontId="3"/>
  </si>
  <si>
    <t>03/07/2026</t>
  </si>
  <si>
    <t>03/07/2026</t>
    <phoneticPr fontId="3"/>
  </si>
  <si>
    <t>02573</t>
    <phoneticPr fontId="3"/>
  </si>
  <si>
    <t>WH1/1672</t>
    <phoneticPr fontId="3"/>
  </si>
  <si>
    <t>2607-4849</t>
    <phoneticPr fontId="3"/>
  </si>
  <si>
    <t>016735</t>
    <phoneticPr fontId="3"/>
  </si>
  <si>
    <t>2607-4493</t>
    <phoneticPr fontId="3"/>
  </si>
  <si>
    <t>02574</t>
    <phoneticPr fontId="3"/>
  </si>
  <si>
    <t>WH1/1671</t>
    <phoneticPr fontId="3"/>
  </si>
  <si>
    <t>016737</t>
    <phoneticPr fontId="3"/>
  </si>
  <si>
    <t>WH2/1111</t>
    <phoneticPr fontId="3"/>
  </si>
  <si>
    <t>2607-4468</t>
    <phoneticPr fontId="3"/>
  </si>
  <si>
    <t>2607-4824</t>
    <phoneticPr fontId="3"/>
  </si>
  <si>
    <t>02553</t>
    <phoneticPr fontId="3"/>
  </si>
  <si>
    <t>WH2/1112</t>
    <phoneticPr fontId="3"/>
  </si>
  <si>
    <t>2607-4830</t>
    <phoneticPr fontId="3"/>
  </si>
  <si>
    <t>2607-4471</t>
    <phoneticPr fontId="3"/>
  </si>
  <si>
    <t>02555</t>
    <phoneticPr fontId="3"/>
  </si>
  <si>
    <t>2607-4850</t>
    <phoneticPr fontId="3"/>
  </si>
  <si>
    <t>WH1/1674</t>
    <phoneticPr fontId="3"/>
  </si>
  <si>
    <t>2607-4852</t>
    <phoneticPr fontId="3"/>
  </si>
  <si>
    <t>016738</t>
    <phoneticPr fontId="3"/>
  </si>
  <si>
    <t>2607-4498</t>
    <phoneticPr fontId="3"/>
  </si>
  <si>
    <t>02578</t>
    <phoneticPr fontId="3"/>
  </si>
  <si>
    <t>WH1/1673</t>
    <phoneticPr fontId="3"/>
  </si>
  <si>
    <t>2607-4495</t>
    <phoneticPr fontId="3"/>
  </si>
  <si>
    <t>2607-4853</t>
  </si>
  <si>
    <t>2607-4854</t>
  </si>
  <si>
    <t>2607-4855</t>
  </si>
  <si>
    <t>2607-4856</t>
  </si>
  <si>
    <t>2607-4857</t>
  </si>
  <si>
    <t>016739</t>
    <phoneticPr fontId="3"/>
  </si>
  <si>
    <t>02576</t>
    <phoneticPr fontId="3"/>
  </si>
  <si>
    <t>WH1/1675</t>
    <phoneticPr fontId="3"/>
  </si>
  <si>
    <t>016740</t>
    <phoneticPr fontId="3"/>
  </si>
  <si>
    <t>2607-4499</t>
    <phoneticPr fontId="3"/>
  </si>
  <si>
    <t>02579</t>
    <phoneticPr fontId="3"/>
  </si>
  <si>
    <t>ບໍລິສັດ ເປໂທຣລີແມັກ (ລາວ) ຈຳໜາສຍພາຍໃນຈຳກັດຜູ້ດຽວ</t>
    <phoneticPr fontId="3"/>
  </si>
  <si>
    <t>476428213-0-00</t>
    <phoneticPr fontId="3"/>
  </si>
  <si>
    <t>WH2/1119</t>
    <phoneticPr fontId="3"/>
  </si>
  <si>
    <t>2607-4497</t>
    <phoneticPr fontId="3"/>
  </si>
  <si>
    <t>WH2/1120</t>
  </si>
  <si>
    <t>WH2/1121</t>
  </si>
  <si>
    <t>WH1/1676</t>
    <phoneticPr fontId="3"/>
  </si>
  <si>
    <t>2607-4858</t>
  </si>
  <si>
    <t>2607-4859</t>
  </si>
  <si>
    <t>2607-4860</t>
  </si>
  <si>
    <t>2607-4861</t>
  </si>
  <si>
    <t>016742</t>
    <phoneticPr fontId="3"/>
  </si>
  <si>
    <t>2607-4500</t>
    <phoneticPr fontId="3"/>
  </si>
  <si>
    <t>02580</t>
    <phoneticPr fontId="3"/>
  </si>
  <si>
    <t>WH6/0358</t>
    <phoneticPr fontId="3"/>
  </si>
  <si>
    <t>2607-4501</t>
    <phoneticPr fontId="3"/>
  </si>
  <si>
    <t>02581</t>
    <phoneticPr fontId="3"/>
  </si>
  <si>
    <t>WH2/1118</t>
    <phoneticPr fontId="3"/>
  </si>
  <si>
    <t>2607-4496</t>
    <phoneticPr fontId="3"/>
  </si>
  <si>
    <t>02577</t>
    <phoneticPr fontId="3"/>
  </si>
  <si>
    <t>WH3/0550</t>
    <phoneticPr fontId="3"/>
  </si>
  <si>
    <t>2607-4502</t>
    <phoneticPr fontId="3"/>
  </si>
  <si>
    <t>02582</t>
    <phoneticPr fontId="3"/>
  </si>
  <si>
    <t>WH8/00086</t>
    <phoneticPr fontId="3"/>
  </si>
  <si>
    <t>2607-4862</t>
  </si>
  <si>
    <t>2607-4863</t>
  </si>
  <si>
    <t>2607-4864</t>
  </si>
  <si>
    <t>2607-4865</t>
  </si>
  <si>
    <t>2607-4866</t>
  </si>
  <si>
    <t>2607-4867</t>
  </si>
  <si>
    <t>2607-4868</t>
  </si>
  <si>
    <t>2607-4503</t>
    <phoneticPr fontId="3"/>
  </si>
  <si>
    <t>02583</t>
    <phoneticPr fontId="3"/>
  </si>
  <si>
    <t>WH2/1122</t>
    <phoneticPr fontId="3"/>
  </si>
  <si>
    <t>2607-4505</t>
    <phoneticPr fontId="3"/>
  </si>
  <si>
    <t>02584</t>
    <phoneticPr fontId="3"/>
  </si>
  <si>
    <t>ບໍລິສັດ ທີທີພາວເວີ້ 45 ຈຳກັດຜູ້ດຽວ</t>
  </si>
  <si>
    <t>ບໍລິສັດ ທີທີພາວເວີ້ 45 ຈຳກັດຜູ້ດຽວ</t>
    <phoneticPr fontId="3"/>
  </si>
  <si>
    <t>855264441-0-00</t>
  </si>
  <si>
    <t>855264441-0-00</t>
    <phoneticPr fontId="3"/>
  </si>
  <si>
    <t>WH1/1677</t>
    <phoneticPr fontId="3"/>
  </si>
  <si>
    <t>016755</t>
    <phoneticPr fontId="3"/>
  </si>
  <si>
    <t>2607-4504</t>
    <phoneticPr fontId="3"/>
  </si>
  <si>
    <t>WH1/1681</t>
    <phoneticPr fontId="3"/>
  </si>
  <si>
    <t>016756</t>
    <phoneticPr fontId="3"/>
  </si>
  <si>
    <t>2607-4509</t>
    <phoneticPr fontId="3"/>
  </si>
  <si>
    <t>02588</t>
    <phoneticPr fontId="3"/>
  </si>
  <si>
    <t>ບໍລິສັດ ນ້ຳມັນເຊື້ອໄຟວຽງຈະເລີນ ຈຳກັດ</t>
    <phoneticPr fontId="3"/>
  </si>
  <si>
    <t>530788071-0-00</t>
    <phoneticPr fontId="3"/>
  </si>
  <si>
    <t>WH2/1124-1123</t>
    <phoneticPr fontId="3"/>
  </si>
  <si>
    <t>WH2/1125-1126</t>
    <phoneticPr fontId="3"/>
  </si>
  <si>
    <t>WH2/1127-1128</t>
    <phoneticPr fontId="3"/>
  </si>
  <si>
    <t>WH2/1129-1130</t>
    <phoneticPr fontId="3"/>
  </si>
  <si>
    <t>WH2/1131-1132</t>
    <phoneticPr fontId="3"/>
  </si>
  <si>
    <t>2607-4869</t>
  </si>
  <si>
    <t>2607-4870</t>
  </si>
  <si>
    <t>2607-4871</t>
  </si>
  <si>
    <t>2607-4872</t>
  </si>
  <si>
    <t>2607-4873</t>
  </si>
  <si>
    <t>2607-4511</t>
    <phoneticPr fontId="3"/>
  </si>
  <si>
    <t>SQ-2607-4489</t>
    <phoneticPr fontId="3"/>
  </si>
  <si>
    <t>SQ-2607-4613</t>
    <phoneticPr fontId="3"/>
  </si>
  <si>
    <t>WH1/1682</t>
    <phoneticPr fontId="3"/>
  </si>
  <si>
    <t>016757</t>
    <phoneticPr fontId="3"/>
  </si>
  <si>
    <t>2607-4510</t>
    <phoneticPr fontId="3"/>
  </si>
  <si>
    <t>02589</t>
    <phoneticPr fontId="3"/>
  </si>
  <si>
    <t>WH1/1685</t>
    <phoneticPr fontId="3"/>
  </si>
  <si>
    <t>016758</t>
    <phoneticPr fontId="3"/>
  </si>
  <si>
    <t>WH1/1680</t>
    <phoneticPr fontId="3"/>
  </si>
  <si>
    <t>016759</t>
    <phoneticPr fontId="3"/>
  </si>
  <si>
    <t>02587</t>
    <phoneticPr fontId="3"/>
  </si>
  <si>
    <t>WH1/1683</t>
    <phoneticPr fontId="3"/>
  </si>
  <si>
    <t>2607-4874</t>
  </si>
  <si>
    <t>2607-4875</t>
  </si>
  <si>
    <t>2607-4876</t>
  </si>
  <si>
    <t>2607-4877</t>
  </si>
  <si>
    <t>2607-4878</t>
  </si>
  <si>
    <t>016760</t>
    <phoneticPr fontId="3"/>
  </si>
  <si>
    <t>2607-4512</t>
    <phoneticPr fontId="3"/>
  </si>
  <si>
    <t>02590</t>
    <phoneticPr fontId="3"/>
  </si>
  <si>
    <t>WH1/1679</t>
    <phoneticPr fontId="3"/>
  </si>
  <si>
    <t>016761</t>
    <phoneticPr fontId="3"/>
  </si>
  <si>
    <t>2607-4507</t>
    <phoneticPr fontId="3"/>
  </si>
  <si>
    <t>02586</t>
    <phoneticPr fontId="3"/>
  </si>
  <si>
    <t>WH1/1684</t>
    <phoneticPr fontId="3"/>
  </si>
  <si>
    <t>016762</t>
    <phoneticPr fontId="3"/>
  </si>
  <si>
    <t>2607-4513</t>
    <phoneticPr fontId="3"/>
  </si>
  <si>
    <t>02591</t>
    <phoneticPr fontId="3"/>
  </si>
  <si>
    <t>WH1/1678</t>
    <phoneticPr fontId="3"/>
  </si>
  <si>
    <t>016763</t>
    <phoneticPr fontId="3"/>
  </si>
  <si>
    <t>2607-4506</t>
    <phoneticPr fontId="3"/>
  </si>
  <si>
    <t>02585</t>
    <phoneticPr fontId="3"/>
  </si>
  <si>
    <t>WH3/0551</t>
    <phoneticPr fontId="3"/>
  </si>
  <si>
    <t>2607-4518</t>
    <phoneticPr fontId="3"/>
  </si>
  <si>
    <t>02592</t>
    <phoneticPr fontId="3"/>
  </si>
  <si>
    <t>WH2/1133</t>
    <phoneticPr fontId="3"/>
  </si>
  <si>
    <t>2607-4879</t>
  </si>
  <si>
    <t>2607-4880</t>
  </si>
  <si>
    <t>2607-4882</t>
  </si>
  <si>
    <t>2607-4883</t>
  </si>
  <si>
    <t>2607-4515</t>
    <phoneticPr fontId="3"/>
  </si>
  <si>
    <t>WH2/1134</t>
    <phoneticPr fontId="3"/>
  </si>
  <si>
    <t>2607-4520</t>
    <phoneticPr fontId="3"/>
  </si>
  <si>
    <t>02593</t>
    <phoneticPr fontId="3"/>
  </si>
  <si>
    <t>WH7/1488</t>
    <phoneticPr fontId="3"/>
  </si>
  <si>
    <t>2607-4881</t>
    <phoneticPr fontId="3"/>
  </si>
  <si>
    <t>0016770</t>
    <phoneticPr fontId="3"/>
  </si>
  <si>
    <t>2607-4492</t>
    <phoneticPr fontId="3"/>
  </si>
  <si>
    <t>WH1/1686</t>
    <phoneticPr fontId="3"/>
  </si>
  <si>
    <t>2607-4885</t>
  </si>
  <si>
    <t>016768</t>
    <phoneticPr fontId="3"/>
  </si>
  <si>
    <t>2607-4521</t>
    <phoneticPr fontId="3"/>
  </si>
  <si>
    <t>02594</t>
    <phoneticPr fontId="3"/>
  </si>
  <si>
    <t>WH6/0359</t>
    <phoneticPr fontId="3"/>
  </si>
  <si>
    <t>2607-4522</t>
    <phoneticPr fontId="3"/>
  </si>
  <si>
    <t>02595</t>
    <phoneticPr fontId="3"/>
  </si>
  <si>
    <t>WH7/1487</t>
    <phoneticPr fontId="3"/>
  </si>
  <si>
    <t>2607-4884</t>
    <phoneticPr fontId="3"/>
  </si>
  <si>
    <t>0016773</t>
    <phoneticPr fontId="3"/>
  </si>
  <si>
    <t>2607-4491</t>
    <phoneticPr fontId="3"/>
  </si>
  <si>
    <t>WH7/1489</t>
    <phoneticPr fontId="3"/>
  </si>
  <si>
    <t>2607-4886</t>
  </si>
  <si>
    <t>2607-4887</t>
  </si>
  <si>
    <t>2607-4889</t>
  </si>
  <si>
    <t>0016774</t>
  </si>
  <si>
    <t>2607-4516</t>
    <phoneticPr fontId="3"/>
  </si>
  <si>
    <t>WH7/1490</t>
    <phoneticPr fontId="3"/>
  </si>
  <si>
    <t>2607-4517</t>
    <phoneticPr fontId="3"/>
  </si>
  <si>
    <t>WH7/1491</t>
    <phoneticPr fontId="3"/>
  </si>
  <si>
    <t>2607-4519</t>
    <phoneticPr fontId="3"/>
  </si>
  <si>
    <t>WH1/1687</t>
    <phoneticPr fontId="3"/>
  </si>
  <si>
    <t>2607-4888</t>
    <phoneticPr fontId="3"/>
  </si>
  <si>
    <t>016778</t>
    <phoneticPr fontId="3"/>
  </si>
  <si>
    <t>2607-4523</t>
    <phoneticPr fontId="3"/>
  </si>
  <si>
    <t>2607-4890</t>
  </si>
  <si>
    <t>2607-4891</t>
  </si>
  <si>
    <t>WH1/1688</t>
    <phoneticPr fontId="3"/>
  </si>
  <si>
    <t>WH1/1689</t>
  </si>
  <si>
    <t>WH1/1690</t>
  </si>
  <si>
    <t>016780</t>
    <phoneticPr fontId="3"/>
  </si>
  <si>
    <t>016781</t>
  </si>
  <si>
    <t>016782</t>
  </si>
  <si>
    <t>2607-4524</t>
    <phoneticPr fontId="3"/>
  </si>
  <si>
    <t>SQ-2607-4511</t>
    <phoneticPr fontId="3"/>
  </si>
  <si>
    <t>WH8/00087</t>
    <phoneticPr fontId="3"/>
  </si>
  <si>
    <t>2607-4526</t>
    <phoneticPr fontId="3"/>
  </si>
  <si>
    <t>2607-4892</t>
  </si>
  <si>
    <t>2607-4893</t>
  </si>
  <si>
    <t>2607-4895</t>
  </si>
  <si>
    <t>02597</t>
    <phoneticPr fontId="3"/>
  </si>
  <si>
    <t>WH2/1135</t>
    <phoneticPr fontId="3"/>
  </si>
  <si>
    <t>2607-4525</t>
    <phoneticPr fontId="3"/>
  </si>
  <si>
    <t>02596</t>
    <phoneticPr fontId="3"/>
  </si>
  <si>
    <t>WH7/1498</t>
    <phoneticPr fontId="3"/>
  </si>
  <si>
    <t>0016786</t>
    <phoneticPr fontId="3"/>
  </si>
  <si>
    <t>0016776</t>
    <phoneticPr fontId="3"/>
  </si>
  <si>
    <t>0016777</t>
  </si>
  <si>
    <t>2607-4533</t>
    <phoneticPr fontId="3"/>
  </si>
  <si>
    <t>04/06/2026</t>
    <phoneticPr fontId="3"/>
  </si>
  <si>
    <t>ITALIAN THAI HONGSA COMPANY LIMITED</t>
  </si>
  <si>
    <t>2607-4894</t>
    <phoneticPr fontId="3"/>
  </si>
  <si>
    <t>MINING GROUP PHAT COMPANY</t>
  </si>
  <si>
    <t>086052729-0-00</t>
    <phoneticPr fontId="3"/>
  </si>
  <si>
    <t>WH7/1499</t>
    <phoneticPr fontId="3"/>
  </si>
  <si>
    <t>0016787</t>
  </si>
  <si>
    <t>2607-4538</t>
    <phoneticPr fontId="3"/>
  </si>
  <si>
    <t>WH8/00088</t>
    <phoneticPr fontId="3"/>
  </si>
  <si>
    <t>2607-4897</t>
    <phoneticPr fontId="3"/>
  </si>
  <si>
    <t>2607-4898</t>
  </si>
  <si>
    <t>2607-4899</t>
  </si>
  <si>
    <t>2607-4537</t>
    <phoneticPr fontId="3"/>
  </si>
  <si>
    <t>02600</t>
    <phoneticPr fontId="3"/>
  </si>
  <si>
    <t>WH3/0552</t>
    <phoneticPr fontId="3"/>
  </si>
  <si>
    <t>2607-4896</t>
    <phoneticPr fontId="3"/>
  </si>
  <si>
    <t>2607-4536</t>
    <phoneticPr fontId="3"/>
  </si>
  <si>
    <t>06/07/2026</t>
  </si>
  <si>
    <t>06/07/2026</t>
    <phoneticPr fontId="3"/>
  </si>
  <si>
    <t>02601</t>
    <phoneticPr fontId="3"/>
  </si>
  <si>
    <t>WH6/0361</t>
    <phoneticPr fontId="3"/>
  </si>
  <si>
    <t>2607-4535</t>
    <phoneticPr fontId="3"/>
  </si>
  <si>
    <t>02599</t>
    <phoneticPr fontId="3"/>
  </si>
  <si>
    <t>WH6/0360</t>
    <phoneticPr fontId="3"/>
  </si>
  <si>
    <t>2607-4534</t>
    <phoneticPr fontId="3"/>
  </si>
  <si>
    <t>02598</t>
    <phoneticPr fontId="3"/>
  </si>
  <si>
    <t>WH7/1492</t>
    <phoneticPr fontId="3"/>
  </si>
  <si>
    <t>0016788</t>
    <phoneticPr fontId="3"/>
  </si>
  <si>
    <t>2607-4527</t>
    <phoneticPr fontId="3"/>
  </si>
  <si>
    <t>WH7/1493</t>
    <phoneticPr fontId="3"/>
  </si>
  <si>
    <t>0016789</t>
    <phoneticPr fontId="3"/>
  </si>
  <si>
    <t>2607-4528</t>
    <phoneticPr fontId="3"/>
  </si>
  <si>
    <t>2607-4900</t>
    <phoneticPr fontId="3"/>
  </si>
  <si>
    <t>2607-4901</t>
  </si>
  <si>
    <t>WH6/0362</t>
    <phoneticPr fontId="3"/>
  </si>
  <si>
    <t>2607-4903</t>
    <phoneticPr fontId="3"/>
  </si>
  <si>
    <t>2607-4541</t>
    <phoneticPr fontId="3"/>
  </si>
  <si>
    <t>02604</t>
    <phoneticPr fontId="3"/>
  </si>
  <si>
    <t>WH1/1691</t>
    <phoneticPr fontId="3"/>
  </si>
  <si>
    <t>2607-4904</t>
    <phoneticPr fontId="3"/>
  </si>
  <si>
    <t>016792</t>
    <phoneticPr fontId="3"/>
  </si>
  <si>
    <t>2607-4542</t>
    <phoneticPr fontId="3"/>
  </si>
  <si>
    <t>02603</t>
    <phoneticPr fontId="3"/>
  </si>
  <si>
    <t>WH8/00089</t>
    <phoneticPr fontId="3"/>
  </si>
  <si>
    <t>2607-4906</t>
    <phoneticPr fontId="3"/>
  </si>
  <si>
    <t>2607-4546</t>
    <phoneticPr fontId="3"/>
  </si>
  <si>
    <t>02607</t>
    <phoneticPr fontId="3"/>
  </si>
  <si>
    <t>WH2/1137</t>
    <phoneticPr fontId="3"/>
  </si>
  <si>
    <t>2607-4907</t>
    <phoneticPr fontId="3"/>
  </si>
  <si>
    <t>2607-4544</t>
    <phoneticPr fontId="3"/>
  </si>
  <si>
    <t>02605</t>
    <phoneticPr fontId="3"/>
  </si>
  <si>
    <t>WH8/00090</t>
    <phoneticPr fontId="3"/>
  </si>
  <si>
    <t>2607-4908</t>
  </si>
  <si>
    <t>2607-4913</t>
  </si>
  <si>
    <t>2607-4547</t>
    <phoneticPr fontId="3"/>
  </si>
  <si>
    <t>02606</t>
    <phoneticPr fontId="3"/>
  </si>
  <si>
    <t>WH7/1495</t>
    <phoneticPr fontId="3"/>
  </si>
  <si>
    <t>2607-4909</t>
    <phoneticPr fontId="3"/>
  </si>
  <si>
    <t>0016799</t>
    <phoneticPr fontId="3"/>
  </si>
  <si>
    <t>2607-4530</t>
    <phoneticPr fontId="3"/>
  </si>
  <si>
    <t>WH7/1496</t>
    <phoneticPr fontId="3"/>
  </si>
  <si>
    <t>2607-4910</t>
    <phoneticPr fontId="3"/>
  </si>
  <si>
    <t>0016800</t>
    <phoneticPr fontId="3"/>
  </si>
  <si>
    <t>2607-4531</t>
    <phoneticPr fontId="3"/>
  </si>
  <si>
    <t>WH7/1494</t>
    <phoneticPr fontId="3"/>
  </si>
  <si>
    <t>2607-4911</t>
    <phoneticPr fontId="3"/>
  </si>
  <si>
    <t>0016801</t>
    <phoneticPr fontId="3"/>
  </si>
  <si>
    <t>2607-4529</t>
    <phoneticPr fontId="3"/>
  </si>
  <si>
    <t>04/07/2026</t>
    <phoneticPr fontId="3"/>
  </si>
  <si>
    <t>WH7/1497</t>
    <phoneticPr fontId="3"/>
  </si>
  <si>
    <t>2607-4912</t>
    <phoneticPr fontId="3"/>
  </si>
  <si>
    <t>0016802</t>
    <phoneticPr fontId="3"/>
  </si>
  <si>
    <t>2607-4532</t>
    <phoneticPr fontId="3"/>
  </si>
  <si>
    <t>WH1/1692</t>
    <phoneticPr fontId="3"/>
  </si>
  <si>
    <t>2607-4915</t>
  </si>
  <si>
    <t>016803</t>
    <phoneticPr fontId="3"/>
  </si>
  <si>
    <t>2607-4548</t>
    <phoneticPr fontId="3"/>
  </si>
  <si>
    <t>02608</t>
    <phoneticPr fontId="3"/>
  </si>
  <si>
    <t>WH7/1500</t>
    <phoneticPr fontId="3"/>
  </si>
  <si>
    <t>2607-4914</t>
    <phoneticPr fontId="3"/>
  </si>
  <si>
    <t>0016804</t>
    <phoneticPr fontId="3"/>
  </si>
  <si>
    <t>2607-4543</t>
    <phoneticPr fontId="3"/>
  </si>
  <si>
    <t>05/07/2026</t>
    <phoneticPr fontId="3"/>
  </si>
  <si>
    <t>WH6/0363</t>
    <phoneticPr fontId="3"/>
  </si>
  <si>
    <t>2607-4549</t>
    <phoneticPr fontId="3"/>
  </si>
  <si>
    <t>02609</t>
    <phoneticPr fontId="3"/>
  </si>
  <si>
    <t>WH7/1504</t>
    <phoneticPr fontId="3"/>
  </si>
  <si>
    <t>2607-4916</t>
    <phoneticPr fontId="3"/>
  </si>
  <si>
    <t>0016805</t>
    <phoneticPr fontId="3"/>
  </si>
  <si>
    <t>2607-4552</t>
    <phoneticPr fontId="3"/>
  </si>
  <si>
    <t>WH7/1507</t>
    <phoneticPr fontId="3"/>
  </si>
  <si>
    <t>2607-4918</t>
    <phoneticPr fontId="3"/>
  </si>
  <si>
    <t>0016807</t>
    <phoneticPr fontId="3"/>
  </si>
  <si>
    <t>2607-4553</t>
    <phoneticPr fontId="3"/>
  </si>
  <si>
    <t>WH3/0553</t>
    <phoneticPr fontId="3"/>
  </si>
  <si>
    <t>2607-4902</t>
    <phoneticPr fontId="3"/>
  </si>
  <si>
    <t>2607-4540</t>
    <phoneticPr fontId="3"/>
  </si>
  <si>
    <t>02602</t>
    <phoneticPr fontId="3"/>
  </si>
  <si>
    <t>2607-4919</t>
    <phoneticPr fontId="3"/>
  </si>
  <si>
    <t>2607-4559</t>
    <phoneticPr fontId="3"/>
  </si>
  <si>
    <t>02610</t>
    <phoneticPr fontId="3"/>
  </si>
  <si>
    <t>WH7/1508</t>
  </si>
  <si>
    <t>2607-4920</t>
    <phoneticPr fontId="3"/>
  </si>
  <si>
    <t>0016808</t>
    <phoneticPr fontId="3"/>
  </si>
  <si>
    <t>2607-4554</t>
    <phoneticPr fontId="3"/>
  </si>
  <si>
    <t>WH7/1509</t>
    <phoneticPr fontId="3"/>
  </si>
  <si>
    <t>2607-4921</t>
    <phoneticPr fontId="3"/>
  </si>
  <si>
    <t>0016809</t>
    <phoneticPr fontId="3"/>
  </si>
  <si>
    <t>2607-4555</t>
    <phoneticPr fontId="3"/>
  </si>
  <si>
    <t>WH7/1510</t>
    <phoneticPr fontId="3"/>
  </si>
  <si>
    <t>2607-4922</t>
    <phoneticPr fontId="3"/>
  </si>
  <si>
    <t>0016810</t>
    <phoneticPr fontId="3"/>
  </si>
  <si>
    <t>2607-4556</t>
    <phoneticPr fontId="3"/>
  </si>
  <si>
    <t>[146710] Mobil Delvac Modern. Coolant Extended Life 1/200 LT</t>
  </si>
  <si>
    <t>[136205] MOBILUBE HD 80W90 20LT PAIL</t>
  </si>
  <si>
    <t>[134399] Mobil Coolant Ready Mixed -36, 12x1L</t>
  </si>
  <si>
    <t>WH1/1694</t>
    <phoneticPr fontId="3"/>
  </si>
  <si>
    <t>2607-4923</t>
    <phoneticPr fontId="3"/>
  </si>
  <si>
    <t>016813</t>
    <phoneticPr fontId="3"/>
  </si>
  <si>
    <t>WH8/00091</t>
    <phoneticPr fontId="3"/>
  </si>
  <si>
    <t>2607-4924</t>
    <phoneticPr fontId="3"/>
  </si>
  <si>
    <t>2607-4562</t>
    <phoneticPr fontId="3"/>
  </si>
  <si>
    <t>02615</t>
    <phoneticPr fontId="3"/>
  </si>
  <si>
    <t>WH8/00092</t>
    <phoneticPr fontId="3"/>
  </si>
  <si>
    <t>2607-4925</t>
    <phoneticPr fontId="3"/>
  </si>
  <si>
    <t>2607-4563</t>
    <phoneticPr fontId="3"/>
  </si>
  <si>
    <t>02614</t>
    <phoneticPr fontId="3"/>
  </si>
  <si>
    <t>WH2/1138</t>
    <phoneticPr fontId="3"/>
  </si>
  <si>
    <t>2607-4926</t>
    <phoneticPr fontId="3"/>
  </si>
  <si>
    <t>2607-4564</t>
    <phoneticPr fontId="3"/>
  </si>
  <si>
    <t>02616</t>
    <phoneticPr fontId="3"/>
  </si>
  <si>
    <t>WH2/1139</t>
    <phoneticPr fontId="3"/>
  </si>
  <si>
    <t>2607-4927</t>
    <phoneticPr fontId="3"/>
  </si>
  <si>
    <t>2607-4565</t>
    <phoneticPr fontId="3"/>
  </si>
  <si>
    <t>02617</t>
    <phoneticPr fontId="3"/>
  </si>
  <si>
    <t>WH2/1136</t>
    <phoneticPr fontId="3"/>
  </si>
  <si>
    <t>2607-4928</t>
    <phoneticPr fontId="3"/>
  </si>
  <si>
    <t>2607-4539</t>
    <phoneticPr fontId="3"/>
  </si>
  <si>
    <t>201/SCH.KM10</t>
    <phoneticPr fontId="3"/>
  </si>
  <si>
    <t>WH6/0364</t>
    <phoneticPr fontId="3"/>
  </si>
  <si>
    <t>2607-4929</t>
    <phoneticPr fontId="3"/>
  </si>
  <si>
    <t>2607-4566</t>
    <phoneticPr fontId="3"/>
  </si>
  <si>
    <t>02618</t>
    <phoneticPr fontId="3"/>
  </si>
  <si>
    <t>WH1/1696</t>
    <phoneticPr fontId="3"/>
  </si>
  <si>
    <t>2607-4930</t>
    <phoneticPr fontId="3"/>
  </si>
  <si>
    <t>2607-4568</t>
    <phoneticPr fontId="3"/>
  </si>
  <si>
    <t>07/07/2026</t>
    <phoneticPr fontId="3"/>
  </si>
  <si>
    <t>02620</t>
    <phoneticPr fontId="3"/>
  </si>
  <si>
    <t>WH1/1695</t>
    <phoneticPr fontId="3"/>
  </si>
  <si>
    <t>2607-4931</t>
    <phoneticPr fontId="3"/>
  </si>
  <si>
    <t>016823</t>
    <phoneticPr fontId="3"/>
  </si>
  <si>
    <t>016824</t>
    <phoneticPr fontId="3"/>
  </si>
  <si>
    <t>2607-4561</t>
    <phoneticPr fontId="3"/>
  </si>
  <si>
    <t>02613</t>
    <phoneticPr fontId="3"/>
  </si>
  <si>
    <t>WH1/1693</t>
    <phoneticPr fontId="3"/>
  </si>
  <si>
    <t>2607-4932</t>
    <phoneticPr fontId="3"/>
  </si>
  <si>
    <t>016825</t>
    <phoneticPr fontId="3"/>
  </si>
  <si>
    <t>2607-4558</t>
    <phoneticPr fontId="3"/>
  </si>
  <si>
    <t>02611</t>
    <phoneticPr fontId="3"/>
  </si>
  <si>
    <t>WH7/1511</t>
    <phoneticPr fontId="3"/>
  </si>
  <si>
    <t>2607-4933</t>
    <phoneticPr fontId="3"/>
  </si>
  <si>
    <t>2607-4569</t>
    <phoneticPr fontId="3"/>
  </si>
  <si>
    <t>2607-4934</t>
  </si>
  <si>
    <t>2607-4935</t>
  </si>
  <si>
    <t>2607-4936</t>
  </si>
  <si>
    <t>2607-4937</t>
  </si>
  <si>
    <t>2607-4938</t>
  </si>
  <si>
    <t>2607-4939</t>
  </si>
  <si>
    <t>WH7/1515</t>
    <phoneticPr fontId="3"/>
  </si>
  <si>
    <t>2607-4573</t>
    <phoneticPr fontId="3"/>
  </si>
  <si>
    <t>WH7/1514</t>
    <phoneticPr fontId="3"/>
  </si>
  <si>
    <t>2607-4572</t>
    <phoneticPr fontId="3"/>
  </si>
  <si>
    <t>WH7/1513</t>
    <phoneticPr fontId="3"/>
  </si>
  <si>
    <t>2607-4571</t>
    <phoneticPr fontId="3"/>
  </si>
  <si>
    <t>WH7/1512</t>
    <phoneticPr fontId="3"/>
  </si>
  <si>
    <t>2607-4570</t>
    <phoneticPr fontId="3"/>
  </si>
  <si>
    <t>WH7/1517</t>
    <phoneticPr fontId="3"/>
  </si>
  <si>
    <t>2607-4575</t>
    <phoneticPr fontId="3"/>
  </si>
  <si>
    <t>WH7/1616</t>
    <phoneticPr fontId="3"/>
  </si>
  <si>
    <t>2607-4574</t>
    <phoneticPr fontId="3"/>
  </si>
  <si>
    <t>WH3/0556</t>
    <phoneticPr fontId="3"/>
  </si>
  <si>
    <t>2607-4940</t>
    <phoneticPr fontId="3"/>
  </si>
  <si>
    <t>2607-4579</t>
    <phoneticPr fontId="3"/>
  </si>
  <si>
    <t>02623</t>
    <phoneticPr fontId="3"/>
  </si>
  <si>
    <t>WH3/0557</t>
    <phoneticPr fontId="3"/>
  </si>
  <si>
    <t>2607-4942</t>
    <phoneticPr fontId="3"/>
  </si>
  <si>
    <t>2607-4581</t>
    <phoneticPr fontId="3"/>
  </si>
  <si>
    <t>02624</t>
    <phoneticPr fontId="3"/>
  </si>
  <si>
    <t>WH8/00093</t>
    <phoneticPr fontId="3"/>
  </si>
  <si>
    <t>2607-4943</t>
    <phoneticPr fontId="3"/>
  </si>
  <si>
    <t>2607-4587</t>
    <phoneticPr fontId="3"/>
  </si>
  <si>
    <t>02626</t>
    <phoneticPr fontId="3"/>
  </si>
  <si>
    <t>WH1/1697</t>
    <phoneticPr fontId="3"/>
  </si>
  <si>
    <t>2607-4944</t>
    <phoneticPr fontId="3"/>
  </si>
  <si>
    <t>016834</t>
    <phoneticPr fontId="3"/>
  </si>
  <si>
    <t>2607-4586</t>
    <phoneticPr fontId="3"/>
  </si>
  <si>
    <t>02625</t>
    <phoneticPr fontId="3"/>
  </si>
  <si>
    <t>WH7/1518</t>
    <phoneticPr fontId="3"/>
  </si>
  <si>
    <t>2607-4945</t>
    <phoneticPr fontId="3"/>
  </si>
  <si>
    <t>0016835</t>
    <phoneticPr fontId="3"/>
  </si>
  <si>
    <t>2607-4582</t>
    <phoneticPr fontId="3"/>
  </si>
  <si>
    <t>WH7/1521</t>
    <phoneticPr fontId="3"/>
  </si>
  <si>
    <t>2607-4946</t>
    <phoneticPr fontId="3"/>
  </si>
  <si>
    <t>0016837</t>
    <phoneticPr fontId="3"/>
  </si>
  <si>
    <t>2607-4585</t>
    <phoneticPr fontId="3"/>
  </si>
  <si>
    <t>WH7/1520</t>
    <phoneticPr fontId="3"/>
  </si>
  <si>
    <t>2607-4947</t>
    <phoneticPr fontId="3"/>
  </si>
  <si>
    <t>0016838</t>
    <phoneticPr fontId="3"/>
  </si>
  <si>
    <t>2607-4584</t>
    <phoneticPr fontId="3"/>
  </si>
  <si>
    <t>WH7/1519</t>
    <phoneticPr fontId="3"/>
  </si>
  <si>
    <t>2607-4948</t>
    <phoneticPr fontId="3"/>
  </si>
  <si>
    <t>0016839</t>
  </si>
  <si>
    <t>2607-4583</t>
    <phoneticPr fontId="3"/>
  </si>
  <si>
    <t>WH2/1140</t>
    <phoneticPr fontId="3"/>
  </si>
  <si>
    <t>2607-4949</t>
    <phoneticPr fontId="3"/>
  </si>
  <si>
    <t>2607-4577</t>
    <phoneticPr fontId="3"/>
  </si>
  <si>
    <t>WH7/1522</t>
    <phoneticPr fontId="3"/>
  </si>
  <si>
    <t>2607-4950</t>
    <phoneticPr fontId="3"/>
  </si>
  <si>
    <t>0016843</t>
    <phoneticPr fontId="3"/>
  </si>
  <si>
    <t>2607-4589</t>
    <phoneticPr fontId="3"/>
  </si>
  <si>
    <t>WH7/1524</t>
    <phoneticPr fontId="3"/>
  </si>
  <si>
    <t>2607-4951</t>
    <phoneticPr fontId="3"/>
  </si>
  <si>
    <t>0016844</t>
    <phoneticPr fontId="3"/>
  </si>
  <si>
    <t>2607-4591</t>
    <phoneticPr fontId="3"/>
  </si>
  <si>
    <t>WH2/1142</t>
    <phoneticPr fontId="3"/>
  </si>
  <si>
    <t>WH2/1143</t>
  </si>
  <si>
    <t>2607-4952</t>
    <phoneticPr fontId="3"/>
  </si>
  <si>
    <t>2607-4953</t>
  </si>
  <si>
    <t>2607-4592</t>
    <phoneticPr fontId="3"/>
  </si>
  <si>
    <t>08/07/2026</t>
  </si>
  <si>
    <t>08/07/2026</t>
    <phoneticPr fontId="3"/>
  </si>
  <si>
    <t>WH7/1523</t>
    <phoneticPr fontId="3"/>
  </si>
  <si>
    <t>2607-4590</t>
    <phoneticPr fontId="3"/>
  </si>
  <si>
    <t>0016845</t>
    <phoneticPr fontId="3"/>
  </si>
  <si>
    <t>WH3/0558</t>
    <phoneticPr fontId="3"/>
  </si>
  <si>
    <t>2607-4955</t>
    <phoneticPr fontId="3"/>
  </si>
  <si>
    <t>2607-4594</t>
    <phoneticPr fontId="3"/>
  </si>
  <si>
    <t>WH2/1143</t>
    <phoneticPr fontId="3"/>
  </si>
  <si>
    <t>2607-4956</t>
    <phoneticPr fontId="3"/>
  </si>
  <si>
    <t>2607-4595</t>
    <phoneticPr fontId="3"/>
  </si>
  <si>
    <t>02629</t>
    <phoneticPr fontId="3"/>
  </si>
  <si>
    <t>WH6/0365</t>
    <phoneticPr fontId="3"/>
  </si>
  <si>
    <t>2607-4567</t>
    <phoneticPr fontId="3"/>
  </si>
  <si>
    <t>2607-4957</t>
  </si>
  <si>
    <t>2607-4960</t>
  </si>
  <si>
    <t>2607-4961</t>
  </si>
  <si>
    <t>2607-4962</t>
  </si>
  <si>
    <t>02619</t>
    <phoneticPr fontId="3"/>
  </si>
  <si>
    <t>WH6/0367</t>
    <phoneticPr fontId="3"/>
  </si>
  <si>
    <t>2607-4963</t>
  </si>
  <si>
    <t>2607-4959</t>
    <phoneticPr fontId="3"/>
  </si>
  <si>
    <t>2607-4588</t>
    <phoneticPr fontId="3"/>
  </si>
  <si>
    <t>02627</t>
    <phoneticPr fontId="3"/>
  </si>
  <si>
    <t>2607-4578</t>
    <phoneticPr fontId="3"/>
  </si>
  <si>
    <t>02622</t>
    <phoneticPr fontId="3"/>
  </si>
  <si>
    <t>WH6/0366</t>
    <phoneticPr fontId="3"/>
  </si>
  <si>
    <t>2607-4576</t>
    <phoneticPr fontId="3"/>
  </si>
  <si>
    <t>02621</t>
    <phoneticPr fontId="3"/>
  </si>
  <si>
    <t>WH1/1698</t>
    <phoneticPr fontId="3"/>
  </si>
  <si>
    <t>016849</t>
    <phoneticPr fontId="3"/>
  </si>
  <si>
    <t>2607-4596</t>
    <phoneticPr fontId="3"/>
  </si>
  <si>
    <t>02630</t>
    <phoneticPr fontId="3"/>
  </si>
  <si>
    <t>WH3/0560</t>
    <phoneticPr fontId="3"/>
  </si>
  <si>
    <t>2607-4599</t>
    <phoneticPr fontId="3"/>
  </si>
  <si>
    <t>02633</t>
    <phoneticPr fontId="3"/>
  </si>
  <si>
    <t>2607-4964</t>
  </si>
  <si>
    <t>2607-4965</t>
  </si>
  <si>
    <t>2607-4966</t>
  </si>
  <si>
    <t>2607-4967</t>
  </si>
  <si>
    <t>2607-4968</t>
  </si>
  <si>
    <t>WH3/0559</t>
    <phoneticPr fontId="3"/>
  </si>
  <si>
    <t>2607-4598</t>
    <phoneticPr fontId="3"/>
  </si>
  <si>
    <t>02632</t>
    <phoneticPr fontId="3"/>
  </si>
  <si>
    <t>WH1/1699</t>
    <phoneticPr fontId="3"/>
  </si>
  <si>
    <t>WH1/1700</t>
  </si>
  <si>
    <t>016854</t>
    <phoneticPr fontId="3"/>
  </si>
  <si>
    <t>016855</t>
    <phoneticPr fontId="3"/>
  </si>
  <si>
    <t>2607-4597</t>
    <phoneticPr fontId="3"/>
  </si>
  <si>
    <t>02631</t>
    <phoneticPr fontId="3"/>
  </si>
  <si>
    <t>WH3/0561</t>
    <phoneticPr fontId="3"/>
  </si>
  <si>
    <t>2607-4600</t>
    <phoneticPr fontId="3"/>
  </si>
  <si>
    <t>02634</t>
    <phoneticPr fontId="3"/>
  </si>
  <si>
    <t>WH3/0562</t>
    <phoneticPr fontId="3"/>
  </si>
  <si>
    <t>2607-4601</t>
    <phoneticPr fontId="3"/>
  </si>
  <si>
    <t>02635</t>
    <phoneticPr fontId="3"/>
  </si>
  <si>
    <t>WH1/1701</t>
    <phoneticPr fontId="3"/>
  </si>
  <si>
    <t>2607-4969</t>
    <phoneticPr fontId="3"/>
  </si>
  <si>
    <t>016861</t>
    <phoneticPr fontId="3"/>
  </si>
  <si>
    <t>[144722] M-DEL MODERN  15W40 SD  DRUM 208LT</t>
    <phoneticPr fontId="3"/>
  </si>
  <si>
    <t>[120265] MOBILUBE HD 85W140  208LT  DR</t>
    <phoneticPr fontId="3"/>
  </si>
  <si>
    <t>WH7/1529</t>
    <phoneticPr fontId="3"/>
  </si>
  <si>
    <t>2607-4970</t>
    <phoneticPr fontId="3"/>
  </si>
  <si>
    <t>0016862</t>
    <phoneticPr fontId="3"/>
  </si>
  <si>
    <t>2607-4606</t>
    <phoneticPr fontId="3"/>
  </si>
  <si>
    <t>WH7/1528</t>
    <phoneticPr fontId="3"/>
  </si>
  <si>
    <t>2607-4971</t>
    <phoneticPr fontId="3"/>
  </si>
  <si>
    <t>0016863</t>
    <phoneticPr fontId="3"/>
  </si>
  <si>
    <t>2607-4605</t>
    <phoneticPr fontId="3"/>
  </si>
  <si>
    <t>WH2/1144</t>
    <phoneticPr fontId="3"/>
  </si>
  <si>
    <t>2607-4972</t>
    <phoneticPr fontId="3"/>
  </si>
  <si>
    <t>2607-4610</t>
    <phoneticPr fontId="3"/>
  </si>
  <si>
    <t>02636</t>
    <phoneticPr fontId="3"/>
  </si>
  <si>
    <t>WH2/1527</t>
    <phoneticPr fontId="3"/>
  </si>
  <si>
    <t>2607-4973</t>
    <phoneticPr fontId="3"/>
  </si>
  <si>
    <t>0016864</t>
    <phoneticPr fontId="3"/>
  </si>
  <si>
    <t>2607-4604</t>
    <phoneticPr fontId="3"/>
  </si>
  <si>
    <t>WH7/01526</t>
    <phoneticPr fontId="3"/>
  </si>
  <si>
    <t>2607-4974</t>
    <phoneticPr fontId="3"/>
  </si>
  <si>
    <t>0016865</t>
    <phoneticPr fontId="3"/>
  </si>
  <si>
    <t>2607-4603</t>
    <phoneticPr fontId="3"/>
  </si>
  <si>
    <t>WH7/1525</t>
    <phoneticPr fontId="3"/>
  </si>
  <si>
    <t>2607-4975</t>
    <phoneticPr fontId="3"/>
  </si>
  <si>
    <t>0016866</t>
    <phoneticPr fontId="3"/>
  </si>
  <si>
    <t>2607-4602</t>
    <phoneticPr fontId="3"/>
  </si>
  <si>
    <t>WH3/0563</t>
    <phoneticPr fontId="3"/>
  </si>
  <si>
    <t>2607-4976</t>
    <phoneticPr fontId="3"/>
  </si>
  <si>
    <t>2607-4611</t>
    <phoneticPr fontId="3"/>
  </si>
  <si>
    <t>02637</t>
    <phoneticPr fontId="3"/>
  </si>
  <si>
    <t>WH/0564</t>
    <phoneticPr fontId="3"/>
  </si>
  <si>
    <t>2607-4977</t>
    <phoneticPr fontId="3"/>
  </si>
  <si>
    <t>2607-4612</t>
    <phoneticPr fontId="3"/>
  </si>
  <si>
    <t>02638</t>
    <phoneticPr fontId="3"/>
  </si>
  <si>
    <t>WH7/1532</t>
    <phoneticPr fontId="3"/>
  </si>
  <si>
    <t>2607-4613</t>
    <phoneticPr fontId="3"/>
  </si>
  <si>
    <t>0016867</t>
    <phoneticPr fontId="3"/>
  </si>
  <si>
    <t>WH6/0371</t>
    <phoneticPr fontId="3"/>
  </si>
  <si>
    <t>2607-4979</t>
    <phoneticPr fontId="3"/>
  </si>
  <si>
    <t>2607-4614</t>
    <phoneticPr fontId="3"/>
  </si>
  <si>
    <t>09/07/2026</t>
    <phoneticPr fontId="3"/>
  </si>
  <si>
    <t>02639</t>
    <phoneticPr fontId="3"/>
  </si>
  <si>
    <t>WH6/0372</t>
    <phoneticPr fontId="3"/>
  </si>
  <si>
    <t>2607-4980</t>
    <phoneticPr fontId="3"/>
  </si>
  <si>
    <t>2607-4615</t>
    <phoneticPr fontId="3"/>
  </si>
  <si>
    <t>02640</t>
    <phoneticPr fontId="3"/>
  </si>
  <si>
    <t>WH8/00094</t>
    <phoneticPr fontId="3"/>
  </si>
  <si>
    <t>2607-4981</t>
    <phoneticPr fontId="3"/>
  </si>
  <si>
    <t>2607-4619</t>
    <phoneticPr fontId="3"/>
  </si>
  <si>
    <t>02645</t>
    <phoneticPr fontId="3"/>
  </si>
  <si>
    <t>WH6/0373</t>
    <phoneticPr fontId="3"/>
  </si>
  <si>
    <t>2607-4982</t>
    <phoneticPr fontId="3"/>
  </si>
  <si>
    <t>2607-4616</t>
    <phoneticPr fontId="3"/>
  </si>
  <si>
    <t>02641</t>
    <phoneticPr fontId="3"/>
  </si>
  <si>
    <t>WH6/0374</t>
    <phoneticPr fontId="3"/>
  </si>
  <si>
    <t>2607-4983</t>
    <phoneticPr fontId="3"/>
  </si>
  <si>
    <t>2607-4618</t>
    <phoneticPr fontId="3"/>
  </si>
  <si>
    <t>02643</t>
    <phoneticPr fontId="3"/>
  </si>
  <si>
    <t>WH1/1702</t>
    <phoneticPr fontId="3"/>
  </si>
  <si>
    <t>2607-4984</t>
    <phoneticPr fontId="3"/>
  </si>
  <si>
    <t>016870</t>
    <phoneticPr fontId="3"/>
  </si>
  <si>
    <t>2607-4617</t>
    <phoneticPr fontId="3"/>
  </si>
  <si>
    <t>02642</t>
    <phoneticPr fontId="3"/>
  </si>
  <si>
    <t>WH7/1531</t>
    <phoneticPr fontId="3"/>
  </si>
  <si>
    <t>2607-4985</t>
    <phoneticPr fontId="3"/>
  </si>
  <si>
    <t>2607-4978</t>
    <phoneticPr fontId="3"/>
  </si>
  <si>
    <t>0016871</t>
    <phoneticPr fontId="3"/>
  </si>
  <si>
    <t>2607-4609</t>
    <phoneticPr fontId="3"/>
  </si>
  <si>
    <t>WH7/1530</t>
    <phoneticPr fontId="3"/>
  </si>
  <si>
    <t>2607-4986</t>
    <phoneticPr fontId="3"/>
  </si>
  <si>
    <t>0016872</t>
    <phoneticPr fontId="3"/>
  </si>
  <si>
    <t>2607-4608</t>
    <phoneticPr fontId="3"/>
  </si>
  <si>
    <t>WH6/0375</t>
    <phoneticPr fontId="3"/>
  </si>
  <si>
    <t>2607-4987</t>
    <phoneticPr fontId="3"/>
  </si>
  <si>
    <t>2607-4621</t>
    <phoneticPr fontId="3"/>
  </si>
  <si>
    <t>02644</t>
    <phoneticPr fontId="3"/>
  </si>
  <si>
    <t>WH7/1533</t>
    <phoneticPr fontId="3"/>
  </si>
  <si>
    <t>2607-4988</t>
    <phoneticPr fontId="3"/>
  </si>
  <si>
    <t>0016876</t>
    <phoneticPr fontId="3"/>
  </si>
  <si>
    <t>2607-4623</t>
    <phoneticPr fontId="3"/>
  </si>
  <si>
    <t>2607-4989</t>
    <phoneticPr fontId="3"/>
  </si>
  <si>
    <t>2607-4990</t>
  </si>
  <si>
    <t>2607-4991</t>
  </si>
  <si>
    <t>2607-4992</t>
  </si>
  <si>
    <t>2607-4993</t>
  </si>
  <si>
    <t>2607-4994</t>
  </si>
  <si>
    <t>WH2/1145</t>
    <phoneticPr fontId="3"/>
  </si>
  <si>
    <t>WH2/1146</t>
  </si>
  <si>
    <t>WH2/1147</t>
  </si>
  <si>
    <t>WH2/1148</t>
  </si>
  <si>
    <t>WH2/1149</t>
  </si>
  <si>
    <t>WH2/1150</t>
  </si>
  <si>
    <t>2607-4620</t>
    <phoneticPr fontId="3"/>
  </si>
  <si>
    <t>202/SCH.KM10</t>
    <phoneticPr fontId="3"/>
  </si>
  <si>
    <t>WH6/0376</t>
    <phoneticPr fontId="3"/>
  </si>
  <si>
    <t>2607-4995</t>
    <phoneticPr fontId="3"/>
  </si>
  <si>
    <t>2607-4629</t>
    <phoneticPr fontId="3"/>
  </si>
  <si>
    <t>02648</t>
    <phoneticPr fontId="3"/>
  </si>
  <si>
    <t>WH1/1704</t>
    <phoneticPr fontId="3"/>
  </si>
  <si>
    <t>2607-4996</t>
    <phoneticPr fontId="3"/>
  </si>
  <si>
    <t>016887</t>
    <phoneticPr fontId="3"/>
  </si>
  <si>
    <t>2607-4628</t>
    <phoneticPr fontId="3"/>
  </si>
  <si>
    <t>02647</t>
    <phoneticPr fontId="3"/>
  </si>
  <si>
    <t>WH1/1703</t>
    <phoneticPr fontId="3"/>
  </si>
  <si>
    <t>2607-4627</t>
    <phoneticPr fontId="3"/>
  </si>
  <si>
    <t>016888</t>
    <phoneticPr fontId="3"/>
  </si>
  <si>
    <t>02646</t>
    <phoneticPr fontId="3"/>
  </si>
  <si>
    <t>2607-4997</t>
  </si>
  <si>
    <t>2607-4998</t>
  </si>
  <si>
    <t>2607-4999</t>
  </si>
  <si>
    <t>2607-5000</t>
  </si>
  <si>
    <t>WH2/1151</t>
    <phoneticPr fontId="3"/>
  </si>
  <si>
    <t>2607-4631</t>
    <phoneticPr fontId="3"/>
  </si>
  <si>
    <t>10/07/2026</t>
    <phoneticPr fontId="3"/>
  </si>
  <si>
    <t>02649</t>
    <phoneticPr fontId="3"/>
  </si>
  <si>
    <t>WH8/00095</t>
    <phoneticPr fontId="3"/>
  </si>
  <si>
    <t>2607-4634</t>
    <phoneticPr fontId="3"/>
  </si>
  <si>
    <t>02651</t>
    <phoneticPr fontId="3"/>
  </si>
  <si>
    <t>WH1/1705</t>
    <phoneticPr fontId="3"/>
  </si>
  <si>
    <t>016890</t>
    <phoneticPr fontId="3"/>
  </si>
  <si>
    <t>2607-4633</t>
    <phoneticPr fontId="3"/>
  </si>
  <si>
    <t>02650</t>
    <phoneticPr fontId="3"/>
  </si>
  <si>
    <t>WH7/1535</t>
    <phoneticPr fontId="3"/>
  </si>
  <si>
    <t>2607-5001</t>
    <phoneticPr fontId="3"/>
  </si>
  <si>
    <t>0016893</t>
    <phoneticPr fontId="3"/>
  </si>
  <si>
    <t>2607-4625</t>
    <phoneticPr fontId="3"/>
  </si>
  <si>
    <t>WH7/1536</t>
    <phoneticPr fontId="3"/>
  </si>
  <si>
    <t>2607-5002</t>
    <phoneticPr fontId="3"/>
  </si>
  <si>
    <t>0016894</t>
    <phoneticPr fontId="3"/>
  </si>
  <si>
    <t>2607-4626</t>
    <phoneticPr fontId="3"/>
  </si>
  <si>
    <t>WH7/1534</t>
    <phoneticPr fontId="3"/>
  </si>
  <si>
    <t>2607-5003</t>
    <phoneticPr fontId="3"/>
  </si>
  <si>
    <t>0016895</t>
    <phoneticPr fontId="3"/>
  </si>
  <si>
    <t>2607-4624</t>
    <phoneticPr fontId="3"/>
  </si>
  <si>
    <t>WH7/1537</t>
    <phoneticPr fontId="3"/>
  </si>
  <si>
    <t>2607-5004</t>
    <phoneticPr fontId="3"/>
  </si>
  <si>
    <t>0016896</t>
    <phoneticPr fontId="3"/>
  </si>
  <si>
    <t>2607-4632</t>
    <phoneticPr fontId="3"/>
  </si>
  <si>
    <t>WH1/1706</t>
    <phoneticPr fontId="3"/>
  </si>
  <si>
    <t>2607-4635</t>
    <phoneticPr fontId="3"/>
  </si>
  <si>
    <t>016897</t>
    <phoneticPr fontId="3"/>
  </si>
  <si>
    <t>10/07/2026</t>
  </si>
  <si>
    <t>02652</t>
    <phoneticPr fontId="3"/>
  </si>
  <si>
    <t>1273/ກຄພນ</t>
  </si>
  <si>
    <t>1273/ກຄພນ</t>
    <phoneticPr fontId="3"/>
  </si>
  <si>
    <t>WH2/1152</t>
    <phoneticPr fontId="3"/>
  </si>
  <si>
    <t>2607-4636</t>
    <phoneticPr fontId="3"/>
  </si>
  <si>
    <t>2607-5005</t>
    <phoneticPr fontId="3"/>
  </si>
  <si>
    <t>2607-5006</t>
  </si>
  <si>
    <t>2607-5007</t>
  </si>
  <si>
    <t>02654</t>
    <phoneticPr fontId="3"/>
  </si>
  <si>
    <t>WH3/0566</t>
    <phoneticPr fontId="3"/>
  </si>
  <si>
    <t>2607-4638</t>
    <phoneticPr fontId="3"/>
  </si>
  <si>
    <t>02656</t>
    <phoneticPr fontId="3"/>
  </si>
  <si>
    <t>WH3/0565</t>
    <phoneticPr fontId="3"/>
  </si>
  <si>
    <t>2607-5008</t>
  </si>
  <si>
    <t>2607-4637</t>
    <phoneticPr fontId="3"/>
  </si>
  <si>
    <t>02655</t>
    <phoneticPr fontId="3"/>
  </si>
  <si>
    <t>WH2/1153</t>
    <phoneticPr fontId="3"/>
  </si>
  <si>
    <t>2607-5009</t>
  </si>
  <si>
    <t>2607-4640</t>
    <phoneticPr fontId="3"/>
  </si>
  <si>
    <t>02653</t>
    <phoneticPr fontId="3"/>
  </si>
  <si>
    <t>WH3/0377</t>
    <phoneticPr fontId="3"/>
  </si>
  <si>
    <t>2607-5010</t>
  </si>
  <si>
    <t>2607-5011</t>
  </si>
  <si>
    <t>2607-4639</t>
    <phoneticPr fontId="3"/>
  </si>
  <si>
    <t>02657</t>
    <phoneticPr fontId="3"/>
  </si>
  <si>
    <t>WH1/1707</t>
    <phoneticPr fontId="3"/>
  </si>
  <si>
    <t>016899</t>
    <phoneticPr fontId="3"/>
  </si>
  <si>
    <t>2607-4641</t>
    <phoneticPr fontId="3"/>
  </si>
  <si>
    <t>02658</t>
    <phoneticPr fontId="3"/>
  </si>
  <si>
    <t>WH7/1538</t>
    <phoneticPr fontId="3"/>
  </si>
  <si>
    <t>2607-5012</t>
    <phoneticPr fontId="3"/>
  </si>
  <si>
    <t>0016902</t>
    <phoneticPr fontId="3"/>
  </si>
  <si>
    <t>2607-4642</t>
    <phoneticPr fontId="3"/>
  </si>
  <si>
    <t>WH7/1539</t>
    <phoneticPr fontId="3"/>
  </si>
  <si>
    <t>2607-5013</t>
    <phoneticPr fontId="3"/>
  </si>
  <si>
    <t>0016903</t>
    <phoneticPr fontId="3"/>
  </si>
  <si>
    <t>2607-4643</t>
    <phoneticPr fontId="3"/>
  </si>
  <si>
    <t>WH1/1708</t>
    <phoneticPr fontId="3"/>
  </si>
  <si>
    <t>016904</t>
    <phoneticPr fontId="3"/>
  </si>
  <si>
    <t>2607-4644</t>
    <phoneticPr fontId="3"/>
  </si>
  <si>
    <t>2607-5014</t>
    <phoneticPr fontId="3"/>
  </si>
  <si>
    <t>02661</t>
    <phoneticPr fontId="3"/>
  </si>
  <si>
    <t>WH8/00096</t>
    <phoneticPr fontId="3"/>
  </si>
  <si>
    <t>2607-5015</t>
    <phoneticPr fontId="3"/>
  </si>
  <si>
    <t>2607-4646</t>
    <phoneticPr fontId="3"/>
  </si>
  <si>
    <t>2663</t>
    <phoneticPr fontId="3"/>
  </si>
  <si>
    <t>WH1/1709</t>
    <phoneticPr fontId="3"/>
  </si>
  <si>
    <t>2607-5016</t>
    <phoneticPr fontId="3"/>
  </si>
  <si>
    <t>016906</t>
    <phoneticPr fontId="3"/>
  </si>
  <si>
    <t>2607-4647</t>
    <phoneticPr fontId="3"/>
  </si>
  <si>
    <t>11/07/2026</t>
    <phoneticPr fontId="3"/>
  </si>
  <si>
    <t>02664</t>
    <phoneticPr fontId="3"/>
  </si>
  <si>
    <t>016731</t>
    <phoneticPr fontId="3"/>
  </si>
  <si>
    <t>WH7/1505</t>
  </si>
  <si>
    <t>2607-4917</t>
  </si>
  <si>
    <t>5/07/2026</t>
    <phoneticPr fontId="3"/>
  </si>
  <si>
    <t>9/07/2026</t>
    <phoneticPr fontId="3"/>
  </si>
  <si>
    <t>WH6/0378</t>
    <phoneticPr fontId="3"/>
  </si>
  <si>
    <t>2607-4645</t>
    <phoneticPr fontId="3"/>
  </si>
  <si>
    <t>2607-5017</t>
  </si>
  <si>
    <t>02662</t>
    <phoneticPr fontId="3"/>
  </si>
  <si>
    <t>WH6/0379</t>
    <phoneticPr fontId="3"/>
  </si>
  <si>
    <t>2607-5018</t>
    <phoneticPr fontId="3"/>
  </si>
  <si>
    <t>2607-4650</t>
    <phoneticPr fontId="3"/>
  </si>
  <si>
    <t>13/07/2026</t>
  </si>
  <si>
    <t>13/07/2026</t>
    <phoneticPr fontId="3"/>
  </si>
  <si>
    <t>02665</t>
    <phoneticPr fontId="3"/>
  </si>
  <si>
    <t>WH3/0567</t>
    <phoneticPr fontId="3"/>
  </si>
  <si>
    <t>2607-5019</t>
  </si>
  <si>
    <t>2607-5020</t>
  </si>
  <si>
    <t>2607-5021</t>
  </si>
  <si>
    <t>2607-5022</t>
  </si>
  <si>
    <t>2607-5023</t>
  </si>
  <si>
    <t>2607-5024</t>
  </si>
  <si>
    <t>2607-5025</t>
  </si>
  <si>
    <t>2607-5026</t>
  </si>
  <si>
    <t>2607-4651</t>
    <phoneticPr fontId="3"/>
  </si>
  <si>
    <t>02666</t>
    <phoneticPr fontId="3"/>
  </si>
  <si>
    <t>WH2/1155</t>
    <phoneticPr fontId="3"/>
  </si>
  <si>
    <t>2607-4652</t>
    <phoneticPr fontId="3"/>
  </si>
  <si>
    <t>02667</t>
    <phoneticPr fontId="3"/>
  </si>
  <si>
    <t>WH6/0380</t>
    <phoneticPr fontId="3"/>
  </si>
  <si>
    <t>2607-4659</t>
    <phoneticPr fontId="3"/>
  </si>
  <si>
    <t>530788071-0-00</t>
  </si>
  <si>
    <t>WH2/1157</t>
    <phoneticPr fontId="3"/>
  </si>
  <si>
    <t>WH2/1159</t>
    <phoneticPr fontId="3"/>
  </si>
  <si>
    <t>2607-4660</t>
    <phoneticPr fontId="3"/>
  </si>
  <si>
    <t>WH2/1158</t>
    <phoneticPr fontId="3"/>
  </si>
  <si>
    <t>2607-4661</t>
    <phoneticPr fontId="3"/>
  </si>
  <si>
    <t>WH2/1156</t>
    <phoneticPr fontId="3"/>
  </si>
  <si>
    <t>2607-4653</t>
    <phoneticPr fontId="3"/>
  </si>
  <si>
    <t>02668</t>
    <phoneticPr fontId="3"/>
  </si>
  <si>
    <t>WH3/0568</t>
    <phoneticPr fontId="3"/>
  </si>
  <si>
    <t>2607-4655</t>
    <phoneticPr fontId="3"/>
  </si>
  <si>
    <t>02671</t>
    <phoneticPr fontId="3"/>
  </si>
  <si>
    <t>ບໍລິສັດ ຊິໂນໂຮໂດຣ -K1037 ການຮ່ວມທຶນໂຄງການເຂື່ອນໄຟຟ້າປາກແບ່ງ ຈຳກັດຜູ້ດຽວ</t>
    <phoneticPr fontId="3"/>
  </si>
  <si>
    <t>673866855-0-00</t>
    <phoneticPr fontId="3"/>
  </si>
  <si>
    <t>WH7/1541</t>
    <phoneticPr fontId="3"/>
  </si>
  <si>
    <t>2607-5027</t>
    <phoneticPr fontId="3"/>
  </si>
  <si>
    <t>0016913</t>
    <phoneticPr fontId="3"/>
  </si>
  <si>
    <t>2607-4657</t>
    <phoneticPr fontId="3"/>
  </si>
  <si>
    <t>1131/ກຄພນ</t>
    <phoneticPr fontId="3"/>
  </si>
  <si>
    <t>WH7/1540</t>
    <phoneticPr fontId="3"/>
  </si>
  <si>
    <t>2607-5028</t>
    <phoneticPr fontId="3"/>
  </si>
  <si>
    <t>0016914</t>
    <phoneticPr fontId="3"/>
  </si>
  <si>
    <t>2607-4654</t>
    <phoneticPr fontId="3"/>
  </si>
  <si>
    <t>WH7/1542</t>
    <phoneticPr fontId="3"/>
  </si>
  <si>
    <t>2607-5029</t>
    <phoneticPr fontId="3"/>
  </si>
  <si>
    <t>0016915</t>
    <phoneticPr fontId="3"/>
  </si>
  <si>
    <t>2607-4665</t>
    <phoneticPr fontId="3"/>
  </si>
  <si>
    <t>02670</t>
    <phoneticPr fontId="3"/>
  </si>
  <si>
    <t>02677</t>
    <phoneticPr fontId="3"/>
  </si>
  <si>
    <t>WH1/1714</t>
    <phoneticPr fontId="3"/>
  </si>
  <si>
    <t>2607-5030</t>
    <phoneticPr fontId="3"/>
  </si>
  <si>
    <t>016916</t>
    <phoneticPr fontId="3"/>
  </si>
  <si>
    <t>2607-4666</t>
    <phoneticPr fontId="3"/>
  </si>
  <si>
    <t>02678</t>
    <phoneticPr fontId="3"/>
  </si>
  <si>
    <t>WH1/1713</t>
    <phoneticPr fontId="3"/>
  </si>
  <si>
    <t>2607-5031</t>
    <phoneticPr fontId="3"/>
  </si>
  <si>
    <t>016917</t>
    <phoneticPr fontId="3"/>
  </si>
  <si>
    <t>2607-4662</t>
    <phoneticPr fontId="3"/>
  </si>
  <si>
    <t>02674</t>
    <phoneticPr fontId="3"/>
  </si>
  <si>
    <t>WH1/1712</t>
    <phoneticPr fontId="3"/>
  </si>
  <si>
    <t>2607-5032</t>
    <phoneticPr fontId="3"/>
  </si>
  <si>
    <t>016918</t>
    <phoneticPr fontId="3"/>
  </si>
  <si>
    <t>2607-4658</t>
    <phoneticPr fontId="3"/>
  </si>
  <si>
    <t>02673</t>
    <phoneticPr fontId="3"/>
  </si>
  <si>
    <t>WH1/1711</t>
    <phoneticPr fontId="3"/>
  </si>
  <si>
    <t>2607-5033</t>
    <phoneticPr fontId="3"/>
  </si>
  <si>
    <t>016919</t>
    <phoneticPr fontId="3"/>
  </si>
  <si>
    <t>2607-4656</t>
    <phoneticPr fontId="3"/>
  </si>
  <si>
    <t>02672</t>
    <phoneticPr fontId="3"/>
  </si>
  <si>
    <t>WH3/0571</t>
    <phoneticPr fontId="3"/>
  </si>
  <si>
    <t>2607-5034</t>
  </si>
  <si>
    <t>2607-5035</t>
  </si>
  <si>
    <t>2607-5036</t>
  </si>
  <si>
    <t>2607-5037</t>
  </si>
  <si>
    <t>2607-4673</t>
    <phoneticPr fontId="3"/>
  </si>
  <si>
    <t>02681</t>
    <phoneticPr fontId="3"/>
  </si>
  <si>
    <t>WH6/0382</t>
    <phoneticPr fontId="3"/>
  </si>
  <si>
    <t>2607-4671</t>
    <phoneticPr fontId="3"/>
  </si>
  <si>
    <t>02680</t>
    <phoneticPr fontId="3"/>
  </si>
  <si>
    <t>WH6/0381</t>
    <phoneticPr fontId="3"/>
  </si>
  <si>
    <t>2607-4670</t>
    <phoneticPr fontId="3"/>
  </si>
  <si>
    <t>02679</t>
    <phoneticPr fontId="3"/>
  </si>
  <si>
    <t>WH3/0569</t>
    <phoneticPr fontId="3"/>
  </si>
  <si>
    <t>2607-4663</t>
    <phoneticPr fontId="3"/>
  </si>
  <si>
    <t>02675</t>
    <phoneticPr fontId="3"/>
  </si>
  <si>
    <t>WH3/0570</t>
    <phoneticPr fontId="3"/>
  </si>
  <si>
    <t>2607-5038</t>
  </si>
  <si>
    <t>2607-5039</t>
  </si>
  <si>
    <t>2607-4664</t>
    <phoneticPr fontId="3"/>
  </si>
  <si>
    <t>02676</t>
    <phoneticPr fontId="3"/>
  </si>
  <si>
    <t>WH2/1161</t>
    <phoneticPr fontId="3"/>
  </si>
  <si>
    <t>2607-4681</t>
    <phoneticPr fontId="3"/>
  </si>
  <si>
    <t>WH7/1544</t>
    <phoneticPr fontId="3"/>
  </si>
  <si>
    <t>2607-5040</t>
    <phoneticPr fontId="3"/>
  </si>
  <si>
    <t>0016920</t>
    <phoneticPr fontId="3"/>
  </si>
  <si>
    <t>2607-4668</t>
    <phoneticPr fontId="3"/>
  </si>
  <si>
    <t>WH7/1543</t>
    <phoneticPr fontId="3"/>
  </si>
  <si>
    <t>2607-5041</t>
    <phoneticPr fontId="3"/>
  </si>
  <si>
    <t>0016922</t>
    <phoneticPr fontId="3"/>
  </si>
  <si>
    <t>2607-4667</t>
    <phoneticPr fontId="3"/>
  </si>
  <si>
    <t>WH7/1547</t>
    <phoneticPr fontId="3"/>
  </si>
  <si>
    <t>2607-5043</t>
    <phoneticPr fontId="3"/>
  </si>
  <si>
    <t>0016925</t>
    <phoneticPr fontId="3"/>
  </si>
  <si>
    <t>2607-4675</t>
    <phoneticPr fontId="3"/>
  </si>
  <si>
    <t>WH7/1548</t>
  </si>
  <si>
    <t>2607-5044</t>
  </si>
  <si>
    <t>0016926</t>
  </si>
  <si>
    <t>2607-4676</t>
  </si>
  <si>
    <t>WH7/1550</t>
    <phoneticPr fontId="3"/>
  </si>
  <si>
    <t>2607-5045</t>
  </si>
  <si>
    <t>0016927</t>
  </si>
  <si>
    <t>2607-4677</t>
  </si>
  <si>
    <t>2607-4678</t>
  </si>
  <si>
    <t>12/07/2026</t>
    <phoneticPr fontId="3"/>
  </si>
  <si>
    <t>WH7/1549</t>
    <phoneticPr fontId="3"/>
  </si>
  <si>
    <t>2607-5046</t>
    <phoneticPr fontId="3"/>
  </si>
  <si>
    <t>WH8/00097</t>
    <phoneticPr fontId="3"/>
  </si>
  <si>
    <t>2607-5047</t>
    <phoneticPr fontId="3"/>
  </si>
  <si>
    <t>2607-4684</t>
    <phoneticPr fontId="3"/>
  </si>
  <si>
    <t>02685</t>
    <phoneticPr fontId="3"/>
  </si>
  <si>
    <t>0016928</t>
  </si>
  <si>
    <t>WH8/00098</t>
    <phoneticPr fontId="3"/>
  </si>
  <si>
    <t>2607-5049</t>
    <phoneticPr fontId="3"/>
  </si>
  <si>
    <t>2607-4687</t>
    <phoneticPr fontId="3"/>
  </si>
  <si>
    <t>02688</t>
    <phoneticPr fontId="3"/>
  </si>
  <si>
    <t>WH7/1551</t>
    <phoneticPr fontId="3"/>
  </si>
  <si>
    <t>2607-5050</t>
    <phoneticPr fontId="3"/>
  </si>
  <si>
    <t>2607-4679</t>
    <phoneticPr fontId="3"/>
  </si>
  <si>
    <t>WH2/1164</t>
    <phoneticPr fontId="3"/>
  </si>
  <si>
    <t>2607-5051</t>
    <phoneticPr fontId="3"/>
  </si>
  <si>
    <t>2607-4685</t>
    <phoneticPr fontId="3"/>
  </si>
  <si>
    <t>02686</t>
    <phoneticPr fontId="3"/>
  </si>
  <si>
    <t>WH2/1165</t>
    <phoneticPr fontId="3"/>
  </si>
  <si>
    <t>2607-4686</t>
    <phoneticPr fontId="3"/>
  </si>
  <si>
    <t>2607-5052</t>
  </si>
  <si>
    <t>02687</t>
    <phoneticPr fontId="3"/>
  </si>
  <si>
    <t>WH7/1163</t>
    <phoneticPr fontId="3"/>
  </si>
  <si>
    <t>2607-5053</t>
  </si>
  <si>
    <t>2607-4683</t>
    <phoneticPr fontId="3"/>
  </si>
  <si>
    <t>02684</t>
    <phoneticPr fontId="3"/>
  </si>
  <si>
    <t>WH7/1162</t>
    <phoneticPr fontId="3"/>
  </si>
  <si>
    <t>2607-5054</t>
    <phoneticPr fontId="3"/>
  </si>
  <si>
    <t>2607-4682</t>
    <phoneticPr fontId="3"/>
  </si>
  <si>
    <t>02683</t>
    <phoneticPr fontId="3"/>
  </si>
  <si>
    <t>WH2/1166</t>
    <phoneticPr fontId="3"/>
  </si>
  <si>
    <t>2607-5055</t>
    <phoneticPr fontId="3"/>
  </si>
  <si>
    <t>2607-4688</t>
    <phoneticPr fontId="3"/>
  </si>
  <si>
    <t>WH2/1167</t>
    <phoneticPr fontId="3"/>
  </si>
  <si>
    <t>2607-5056</t>
    <phoneticPr fontId="3"/>
  </si>
  <si>
    <t>2607-4694</t>
    <phoneticPr fontId="3"/>
  </si>
  <si>
    <t>02689</t>
    <phoneticPr fontId="3"/>
  </si>
  <si>
    <t>WH7/1552</t>
    <phoneticPr fontId="3"/>
  </si>
  <si>
    <t>2607-5057</t>
    <phoneticPr fontId="3"/>
  </si>
  <si>
    <t>0016935</t>
    <phoneticPr fontId="3"/>
  </si>
  <si>
    <t>2607-4689</t>
    <phoneticPr fontId="3"/>
  </si>
  <si>
    <t>WH7/1553</t>
    <phoneticPr fontId="3"/>
  </si>
  <si>
    <t>2607-5058</t>
    <phoneticPr fontId="3"/>
  </si>
  <si>
    <t>0016936</t>
    <phoneticPr fontId="3"/>
  </si>
  <si>
    <t>2607-4690</t>
    <phoneticPr fontId="3"/>
  </si>
  <si>
    <t>WH2/1154</t>
    <phoneticPr fontId="3"/>
  </si>
  <si>
    <t>WH2/1168</t>
    <phoneticPr fontId="3"/>
  </si>
  <si>
    <t>2607-5059</t>
    <phoneticPr fontId="3"/>
  </si>
  <si>
    <t>2607-5060</t>
  </si>
  <si>
    <t>2607-4648</t>
    <phoneticPr fontId="3"/>
  </si>
  <si>
    <t>203/SCH.KM10</t>
    <phoneticPr fontId="3"/>
  </si>
  <si>
    <t>WH7/1554</t>
    <phoneticPr fontId="3"/>
  </si>
  <si>
    <t>2607-5061</t>
    <phoneticPr fontId="3"/>
  </si>
  <si>
    <t>0016938</t>
    <phoneticPr fontId="3"/>
  </si>
  <si>
    <t>2607-4691</t>
    <phoneticPr fontId="3"/>
  </si>
  <si>
    <t>WH7/1555</t>
    <phoneticPr fontId="3"/>
  </si>
  <si>
    <t>2607-5062</t>
    <phoneticPr fontId="3"/>
  </si>
  <si>
    <t>0016939</t>
    <phoneticPr fontId="3"/>
  </si>
  <si>
    <t>2607-4692</t>
    <phoneticPr fontId="3"/>
  </si>
  <si>
    <t>WH6/0384</t>
    <phoneticPr fontId="3"/>
  </si>
  <si>
    <t>2607-5063</t>
    <phoneticPr fontId="3"/>
  </si>
  <si>
    <t>2607-4695</t>
    <phoneticPr fontId="3"/>
  </si>
  <si>
    <t>02691</t>
    <phoneticPr fontId="3"/>
  </si>
  <si>
    <t>WH7/1556</t>
    <phoneticPr fontId="3"/>
  </si>
  <si>
    <t>2607-5064</t>
    <phoneticPr fontId="3"/>
  </si>
  <si>
    <t>0016940</t>
    <phoneticPr fontId="3"/>
  </si>
  <si>
    <t>2607-4693</t>
    <phoneticPr fontId="3"/>
  </si>
  <si>
    <t>WH2/1169</t>
    <phoneticPr fontId="3"/>
  </si>
  <si>
    <t>2607-5065</t>
    <phoneticPr fontId="3"/>
  </si>
  <si>
    <t>2607-4697</t>
    <phoneticPr fontId="3"/>
  </si>
  <si>
    <t>WH1/1715</t>
    <phoneticPr fontId="3"/>
  </si>
  <si>
    <t>2607-5066</t>
    <phoneticPr fontId="3"/>
  </si>
  <si>
    <t>016941</t>
    <phoneticPr fontId="3"/>
  </si>
  <si>
    <t>2607-4696</t>
    <phoneticPr fontId="3"/>
  </si>
  <si>
    <t>02692</t>
    <phoneticPr fontId="3"/>
  </si>
  <si>
    <t>WH2/1170</t>
    <phoneticPr fontId="3"/>
  </si>
  <si>
    <t>WH2/1172</t>
    <phoneticPr fontId="3"/>
  </si>
  <si>
    <t>2607-5067</t>
  </si>
  <si>
    <t>2607-5068</t>
  </si>
  <si>
    <t>2607-4699</t>
    <phoneticPr fontId="3"/>
  </si>
  <si>
    <t>WH2/1171</t>
    <phoneticPr fontId="3"/>
  </si>
  <si>
    <t>2607-5069</t>
  </si>
  <si>
    <t>2607-4700</t>
    <phoneticPr fontId="3"/>
  </si>
  <si>
    <t>02694</t>
    <phoneticPr fontId="3"/>
  </si>
  <si>
    <t>WH2/1173</t>
    <phoneticPr fontId="3"/>
  </si>
  <si>
    <t>2607-5070</t>
    <phoneticPr fontId="3"/>
  </si>
  <si>
    <t>2607-4701</t>
    <phoneticPr fontId="3"/>
  </si>
  <si>
    <t>14/07/2026</t>
  </si>
  <si>
    <t>14/07/2026</t>
    <phoneticPr fontId="3"/>
  </si>
  <si>
    <t>WH1/1716</t>
    <phoneticPr fontId="3"/>
  </si>
  <si>
    <t>2607-4702</t>
    <phoneticPr fontId="3"/>
  </si>
  <si>
    <t>016959</t>
    <phoneticPr fontId="3"/>
  </si>
  <si>
    <t>2607-5071</t>
  </si>
  <si>
    <t>2607-5072</t>
  </si>
  <si>
    <t>2607-5073</t>
  </si>
  <si>
    <t>02695</t>
    <phoneticPr fontId="3"/>
  </si>
  <si>
    <t>WH1/1718</t>
    <phoneticPr fontId="3"/>
  </si>
  <si>
    <t>016960</t>
    <phoneticPr fontId="3"/>
  </si>
  <si>
    <t>2607-4704</t>
    <phoneticPr fontId="3"/>
  </si>
  <si>
    <t>02696</t>
    <phoneticPr fontId="3"/>
  </si>
  <si>
    <t>WH1/1719</t>
    <phoneticPr fontId="3"/>
  </si>
  <si>
    <t>016961</t>
  </si>
  <si>
    <t>2607-4707</t>
    <phoneticPr fontId="3"/>
  </si>
  <si>
    <t>02702</t>
    <phoneticPr fontId="3"/>
  </si>
  <si>
    <t>WH7/1558</t>
    <phoneticPr fontId="3"/>
  </si>
  <si>
    <t>2607-5074</t>
    <phoneticPr fontId="3"/>
  </si>
  <si>
    <t>0016962</t>
    <phoneticPr fontId="3"/>
  </si>
  <si>
    <t>2607-4706</t>
    <phoneticPr fontId="3"/>
  </si>
  <si>
    <t>WH7/1557</t>
    <phoneticPr fontId="3"/>
  </si>
  <si>
    <t>2607-5075</t>
    <phoneticPr fontId="3"/>
  </si>
  <si>
    <t>0016963</t>
    <phoneticPr fontId="3"/>
  </si>
  <si>
    <t>2607-4705</t>
    <phoneticPr fontId="3"/>
  </si>
  <si>
    <t>WH2/1175</t>
    <phoneticPr fontId="3"/>
  </si>
  <si>
    <t>2607-5076</t>
    <phoneticPr fontId="3"/>
  </si>
  <si>
    <t>2607-4709</t>
    <phoneticPr fontId="3"/>
  </si>
  <si>
    <t>02698</t>
    <phoneticPr fontId="3"/>
  </si>
  <si>
    <t>WH2/1176</t>
  </si>
  <si>
    <t>2607-5077</t>
  </si>
  <si>
    <t>2607-5078</t>
  </si>
  <si>
    <t>2607-5079</t>
  </si>
  <si>
    <t>2607-5080</t>
  </si>
  <si>
    <t>2607-5081</t>
  </si>
  <si>
    <t>2607-5082</t>
  </si>
  <si>
    <t>2607-5083</t>
  </si>
  <si>
    <t>2607-5084</t>
  </si>
  <si>
    <t>2607-4710</t>
    <phoneticPr fontId="3"/>
  </si>
  <si>
    <t>02699</t>
    <phoneticPr fontId="3"/>
  </si>
  <si>
    <t>WH2/1177</t>
    <phoneticPr fontId="3"/>
  </si>
  <si>
    <t>2607-4711</t>
    <phoneticPr fontId="3"/>
  </si>
  <si>
    <t>02700</t>
    <phoneticPr fontId="3"/>
  </si>
  <si>
    <t>WH2/1178</t>
    <phoneticPr fontId="3"/>
  </si>
  <si>
    <t>2607-4712</t>
    <phoneticPr fontId="3"/>
  </si>
  <si>
    <t>02701</t>
    <phoneticPr fontId="3"/>
  </si>
  <si>
    <t>WH2/1174</t>
    <phoneticPr fontId="3"/>
  </si>
  <si>
    <t>2607-4708</t>
    <phoneticPr fontId="3"/>
  </si>
  <si>
    <t>02697</t>
    <phoneticPr fontId="3"/>
  </si>
  <si>
    <t>WH1/1720</t>
    <phoneticPr fontId="3"/>
  </si>
  <si>
    <t>016964</t>
    <phoneticPr fontId="3"/>
  </si>
  <si>
    <t>2607-4713</t>
    <phoneticPr fontId="3"/>
  </si>
  <si>
    <t>02703</t>
    <phoneticPr fontId="3"/>
  </si>
  <si>
    <t>WH6/0385</t>
    <phoneticPr fontId="3"/>
  </si>
  <si>
    <t>2607-4717</t>
    <phoneticPr fontId="3"/>
  </si>
  <si>
    <t>02707</t>
    <phoneticPr fontId="3"/>
  </si>
  <si>
    <t>WH3/0572</t>
    <phoneticPr fontId="3"/>
  </si>
  <si>
    <t>2607-4714</t>
    <phoneticPr fontId="3"/>
  </si>
  <si>
    <t>02704</t>
    <phoneticPr fontId="3"/>
  </si>
  <si>
    <t>WH3/0573</t>
    <phoneticPr fontId="3"/>
  </si>
  <si>
    <t>2607-4715</t>
    <phoneticPr fontId="3"/>
  </si>
  <si>
    <t>02705</t>
    <phoneticPr fontId="3"/>
  </si>
  <si>
    <t>WH3/0574</t>
    <phoneticPr fontId="3"/>
  </si>
  <si>
    <t>2607-5085</t>
  </si>
  <si>
    <t>2607-5086</t>
  </si>
  <si>
    <t>2607-5087</t>
  </si>
  <si>
    <t>2607-5088</t>
  </si>
  <si>
    <t>2607-4716</t>
    <phoneticPr fontId="3"/>
  </si>
  <si>
    <t>02706</t>
    <phoneticPr fontId="3"/>
  </si>
  <si>
    <t>WH6/0383</t>
    <phoneticPr fontId="3"/>
  </si>
  <si>
    <t>2607-4674</t>
    <phoneticPr fontId="3"/>
  </si>
  <si>
    <t>02682</t>
    <phoneticPr fontId="3"/>
  </si>
  <si>
    <t>WH6/0386</t>
    <phoneticPr fontId="3"/>
  </si>
  <si>
    <t>2607-4718</t>
    <phoneticPr fontId="3"/>
  </si>
  <si>
    <t>02708</t>
    <phoneticPr fontId="3"/>
  </si>
  <si>
    <t>WH2/1180</t>
    <phoneticPr fontId="3"/>
  </si>
  <si>
    <t>WH2/1179</t>
    <phoneticPr fontId="3"/>
  </si>
  <si>
    <t>2607-5089</t>
  </si>
  <si>
    <t>2607-4719</t>
    <phoneticPr fontId="3"/>
  </si>
  <si>
    <t>204/SCH.KM10</t>
    <phoneticPr fontId="3"/>
  </si>
  <si>
    <t>WH1/1721</t>
    <phoneticPr fontId="3"/>
  </si>
  <si>
    <t>2607-5090</t>
    <phoneticPr fontId="3"/>
  </si>
  <si>
    <t>016973</t>
    <phoneticPr fontId="3"/>
  </si>
  <si>
    <t>2607-4725</t>
    <phoneticPr fontId="3"/>
  </si>
  <si>
    <t>02714</t>
    <phoneticPr fontId="3"/>
  </si>
  <si>
    <t>WH6/0387</t>
    <phoneticPr fontId="3"/>
  </si>
  <si>
    <t>2607-5091</t>
  </si>
  <si>
    <t>2607-5092</t>
  </si>
  <si>
    <t>2607-5093</t>
  </si>
  <si>
    <t>2607-5094</t>
  </si>
  <si>
    <t>2607-5095</t>
  </si>
  <si>
    <t>2607-5096</t>
  </si>
  <si>
    <t>2607-5098</t>
  </si>
  <si>
    <t>2607-5099</t>
  </si>
  <si>
    <t>2607-5100</t>
  </si>
  <si>
    <t>2607-4720</t>
    <phoneticPr fontId="3"/>
  </si>
  <si>
    <t>02709</t>
    <phoneticPr fontId="3"/>
  </si>
  <si>
    <t>WH6/0388</t>
    <phoneticPr fontId="3"/>
  </si>
  <si>
    <t>2607-4722</t>
    <phoneticPr fontId="3"/>
  </si>
  <si>
    <t>02711</t>
    <phoneticPr fontId="3"/>
  </si>
  <si>
    <t>WH3/0575</t>
    <phoneticPr fontId="3"/>
  </si>
  <si>
    <t>WH3/0578</t>
    <phoneticPr fontId="3"/>
  </si>
  <si>
    <t>2607-4721</t>
    <phoneticPr fontId="3"/>
  </si>
  <si>
    <t>02710</t>
    <phoneticPr fontId="3"/>
  </si>
  <si>
    <t>WH3/0576</t>
    <phoneticPr fontId="3"/>
  </si>
  <si>
    <t>2607-4723</t>
    <phoneticPr fontId="3"/>
  </si>
  <si>
    <t>02712</t>
    <phoneticPr fontId="3"/>
  </si>
  <si>
    <t>WH3/0577</t>
    <phoneticPr fontId="3"/>
  </si>
  <si>
    <t>2607-4724</t>
    <phoneticPr fontId="3"/>
  </si>
  <si>
    <t>02713</t>
    <phoneticPr fontId="3"/>
  </si>
  <si>
    <t>WH7/1559</t>
    <phoneticPr fontId="3"/>
  </si>
  <si>
    <t>2607-5097</t>
    <phoneticPr fontId="3"/>
  </si>
  <si>
    <t>0016976</t>
    <phoneticPr fontId="3"/>
  </si>
  <si>
    <t>2607-4726</t>
    <phoneticPr fontId="3"/>
  </si>
  <si>
    <t>2607-5101</t>
  </si>
  <si>
    <t>WH7/1560</t>
    <phoneticPr fontId="3"/>
  </si>
  <si>
    <t>0016977</t>
  </si>
  <si>
    <t>2607-4727</t>
    <phoneticPr fontId="3"/>
  </si>
  <si>
    <t>WH7/1561</t>
  </si>
  <si>
    <t>0016978</t>
  </si>
  <si>
    <t>2607-4728</t>
  </si>
  <si>
    <t>2607-4729</t>
  </si>
  <si>
    <t>2607-4730</t>
  </si>
  <si>
    <t>WH7/1562</t>
  </si>
  <si>
    <t>WH7/1563</t>
  </si>
  <si>
    <t>0016980</t>
    <phoneticPr fontId="3"/>
  </si>
  <si>
    <t>0016982</t>
    <phoneticPr fontId="3"/>
  </si>
  <si>
    <t>WH1/1722</t>
    <phoneticPr fontId="3"/>
  </si>
  <si>
    <t>016994</t>
    <phoneticPr fontId="3"/>
  </si>
  <si>
    <t>2607-4731</t>
    <phoneticPr fontId="3"/>
  </si>
  <si>
    <t>02715</t>
    <phoneticPr fontId="3"/>
  </si>
  <si>
    <t>WH7/1564</t>
    <phoneticPr fontId="3"/>
  </si>
  <si>
    <t>WH7/1565</t>
  </si>
  <si>
    <t>2607-5103</t>
    <phoneticPr fontId="3"/>
  </si>
  <si>
    <t>2607-5104</t>
  </si>
  <si>
    <t>0016995</t>
    <phoneticPr fontId="3"/>
  </si>
  <si>
    <t>0016996</t>
  </si>
  <si>
    <t>2607-4732</t>
    <phoneticPr fontId="3"/>
  </si>
  <si>
    <t>15/07/2026</t>
    <phoneticPr fontId="3"/>
  </si>
  <si>
    <t>2607-5102</t>
    <phoneticPr fontId="3"/>
  </si>
  <si>
    <t>2607-5105</t>
    <phoneticPr fontId="3"/>
  </si>
  <si>
    <t>WH1/1723</t>
    <phoneticPr fontId="3"/>
  </si>
  <si>
    <t>016997</t>
    <phoneticPr fontId="3"/>
  </si>
  <si>
    <t>2607-4733</t>
    <phoneticPr fontId="3"/>
  </si>
  <si>
    <t>02716</t>
    <phoneticPr fontId="3"/>
  </si>
  <si>
    <t>WH1/1724</t>
    <phoneticPr fontId="3"/>
  </si>
  <si>
    <t>016998</t>
  </si>
  <si>
    <t>2607-4734</t>
  </si>
  <si>
    <t>02717</t>
    <phoneticPr fontId="3"/>
  </si>
  <si>
    <t>WH1/1725</t>
    <phoneticPr fontId="3"/>
  </si>
  <si>
    <t>2607-5106</t>
  </si>
  <si>
    <t>2607-5107</t>
  </si>
  <si>
    <t>016999</t>
  </si>
  <si>
    <t>2607-4735</t>
    <phoneticPr fontId="3"/>
  </si>
  <si>
    <t>02718</t>
    <phoneticPr fontId="3"/>
  </si>
  <si>
    <t>WH1/1727</t>
    <phoneticPr fontId="3"/>
  </si>
  <si>
    <t>2607-5108</t>
    <phoneticPr fontId="3"/>
  </si>
  <si>
    <t>017000</t>
    <phoneticPr fontId="3"/>
  </si>
  <si>
    <t>2607-4741</t>
    <phoneticPr fontId="3"/>
  </si>
  <si>
    <t>02722</t>
    <phoneticPr fontId="3"/>
  </si>
  <si>
    <t>WH3/0579</t>
    <phoneticPr fontId="3"/>
  </si>
  <si>
    <t>2607-5109</t>
  </si>
  <si>
    <t>2607-5110</t>
  </si>
  <si>
    <t>2607-4736</t>
    <phoneticPr fontId="3"/>
  </si>
  <si>
    <t>02719</t>
    <phoneticPr fontId="3"/>
  </si>
  <si>
    <t>WH3/0580</t>
    <phoneticPr fontId="3"/>
  </si>
  <si>
    <t>2607-4737</t>
    <phoneticPr fontId="3"/>
  </si>
  <si>
    <t>02720</t>
    <phoneticPr fontId="3"/>
  </si>
  <si>
    <t>WH7/1567</t>
    <phoneticPr fontId="3"/>
  </si>
  <si>
    <t>2607-5111</t>
    <phoneticPr fontId="3"/>
  </si>
  <si>
    <t>0017001</t>
    <phoneticPr fontId="3"/>
  </si>
  <si>
    <t>2607-4739</t>
    <phoneticPr fontId="3"/>
  </si>
  <si>
    <t>WH7/1566</t>
    <phoneticPr fontId="3"/>
  </si>
  <si>
    <t>2607-5112</t>
    <phoneticPr fontId="3"/>
  </si>
  <si>
    <t>0017002</t>
    <phoneticPr fontId="3"/>
  </si>
  <si>
    <t>2607-4738</t>
    <phoneticPr fontId="3"/>
  </si>
  <si>
    <t>0017026</t>
    <phoneticPr fontId="3"/>
  </si>
  <si>
    <t>WH3/0582</t>
    <phoneticPr fontId="3"/>
  </si>
  <si>
    <t>2607-5113</t>
    <phoneticPr fontId="3"/>
  </si>
  <si>
    <t>2607-4747</t>
    <phoneticPr fontId="3"/>
  </si>
  <si>
    <t>15/07/2026</t>
  </si>
  <si>
    <t>02729</t>
    <phoneticPr fontId="3"/>
  </si>
  <si>
    <t>WH8/00099</t>
    <phoneticPr fontId="3"/>
  </si>
  <si>
    <t>2607-5114</t>
  </si>
  <si>
    <t>2607-5116</t>
  </si>
  <si>
    <t>2607-5117</t>
  </si>
  <si>
    <t>2607-4743</t>
    <phoneticPr fontId="3"/>
  </si>
  <si>
    <t>02723</t>
    <phoneticPr fontId="3"/>
  </si>
  <si>
    <t>02721</t>
    <phoneticPr fontId="3"/>
  </si>
  <si>
    <t>WH2/1181</t>
    <phoneticPr fontId="3"/>
  </si>
  <si>
    <t>2607-4746</t>
    <phoneticPr fontId="3"/>
  </si>
  <si>
    <t>02728</t>
    <phoneticPr fontId="3"/>
  </si>
  <si>
    <t>WH1/1728</t>
    <phoneticPr fontId="3"/>
  </si>
  <si>
    <t>2607-4744</t>
    <phoneticPr fontId="3"/>
  </si>
  <si>
    <t>02724</t>
    <phoneticPr fontId="3"/>
  </si>
  <si>
    <t>WH3/0583</t>
    <phoneticPr fontId="3"/>
  </si>
  <si>
    <t>2607-5118</t>
  </si>
  <si>
    <t>2607-5119</t>
  </si>
  <si>
    <t>2607-5120</t>
  </si>
  <si>
    <t>2607-5121</t>
  </si>
  <si>
    <t>2607-4748</t>
    <phoneticPr fontId="3"/>
  </si>
  <si>
    <t>02725</t>
    <phoneticPr fontId="3"/>
  </si>
  <si>
    <t>WH2/1182</t>
    <phoneticPr fontId="3"/>
  </si>
  <si>
    <t>2607-4752</t>
    <phoneticPr fontId="3"/>
  </si>
  <si>
    <t>02733</t>
    <phoneticPr fontId="3"/>
  </si>
  <si>
    <t>WH6/0390</t>
    <phoneticPr fontId="3"/>
  </si>
  <si>
    <t>2607-4750</t>
    <phoneticPr fontId="3"/>
  </si>
  <si>
    <t>02731</t>
    <phoneticPr fontId="3"/>
  </si>
  <si>
    <t>WH6/0389</t>
    <phoneticPr fontId="3"/>
  </si>
  <si>
    <t>2607-4749</t>
    <phoneticPr fontId="3"/>
  </si>
  <si>
    <t>02730</t>
    <phoneticPr fontId="3"/>
  </si>
  <si>
    <t>WH1/1729</t>
    <phoneticPr fontId="3"/>
  </si>
  <si>
    <t>2607-5122</t>
  </si>
  <si>
    <t>2607-5123</t>
  </si>
  <si>
    <t>2607-5124</t>
  </si>
  <si>
    <t>2607-5125</t>
  </si>
  <si>
    <t>2607-5126</t>
  </si>
  <si>
    <t>2607-5127</t>
  </si>
  <si>
    <t>2607-5128</t>
  </si>
  <si>
    <t>017004</t>
    <phoneticPr fontId="3"/>
  </si>
  <si>
    <t>2607-4751</t>
    <phoneticPr fontId="3"/>
  </si>
  <si>
    <t>02732</t>
    <phoneticPr fontId="3"/>
  </si>
  <si>
    <t>WH1/1731</t>
    <phoneticPr fontId="3"/>
  </si>
  <si>
    <t>017005</t>
  </si>
  <si>
    <t>2607-4754</t>
    <phoneticPr fontId="3"/>
  </si>
  <si>
    <t>02735</t>
    <phoneticPr fontId="3"/>
  </si>
  <si>
    <t>WH3/0584</t>
    <phoneticPr fontId="3"/>
  </si>
  <si>
    <t>WH3/0585</t>
  </si>
  <si>
    <t>2607-4757</t>
    <phoneticPr fontId="3"/>
  </si>
  <si>
    <t>02738</t>
    <phoneticPr fontId="3"/>
  </si>
  <si>
    <t>WH1/1733</t>
    <phoneticPr fontId="3"/>
  </si>
  <si>
    <t>017008</t>
    <phoneticPr fontId="3"/>
  </si>
  <si>
    <t>2607-4756</t>
    <phoneticPr fontId="3"/>
  </si>
  <si>
    <t>02737</t>
    <phoneticPr fontId="3"/>
  </si>
  <si>
    <t>WH1/1732</t>
    <phoneticPr fontId="3"/>
  </si>
  <si>
    <t>017009</t>
    <phoneticPr fontId="3"/>
  </si>
  <si>
    <t>02736</t>
    <phoneticPr fontId="3"/>
  </si>
  <si>
    <t>WH3/0586</t>
    <phoneticPr fontId="3"/>
  </si>
  <si>
    <t>2607-4762</t>
    <phoneticPr fontId="3"/>
  </si>
  <si>
    <t>02739</t>
    <phoneticPr fontId="3"/>
  </si>
  <si>
    <t>WH1/1734</t>
    <phoneticPr fontId="3"/>
  </si>
  <si>
    <t>WH1/1735</t>
  </si>
  <si>
    <t>2607-5129</t>
  </si>
  <si>
    <t>2607-5130</t>
  </si>
  <si>
    <t>2607-5131</t>
  </si>
  <si>
    <t>2607-5134</t>
  </si>
  <si>
    <t>2607-5135</t>
  </si>
  <si>
    <t>017010</t>
    <phoneticPr fontId="3"/>
  </si>
  <si>
    <t>017011</t>
    <phoneticPr fontId="3"/>
  </si>
  <si>
    <t>2607-4765</t>
    <phoneticPr fontId="3"/>
  </si>
  <si>
    <t>WH1/1730</t>
    <phoneticPr fontId="3"/>
  </si>
  <si>
    <t>017023</t>
    <phoneticPr fontId="3"/>
  </si>
  <si>
    <t>02734</t>
    <phoneticPr fontId="3"/>
  </si>
  <si>
    <t>WH7/1572</t>
    <phoneticPr fontId="3"/>
  </si>
  <si>
    <t>2607-5132</t>
    <phoneticPr fontId="3"/>
  </si>
  <si>
    <t>0017024</t>
    <phoneticPr fontId="3"/>
  </si>
  <si>
    <t>2607-4763</t>
    <phoneticPr fontId="3"/>
  </si>
  <si>
    <t>WH7/1573</t>
    <phoneticPr fontId="3"/>
  </si>
  <si>
    <t>2607-5133</t>
    <phoneticPr fontId="3"/>
  </si>
  <si>
    <t>0017025</t>
  </si>
  <si>
    <t>WH7/1574</t>
    <phoneticPr fontId="3"/>
  </si>
  <si>
    <t>WH7/1575</t>
  </si>
  <si>
    <t>0017027</t>
    <phoneticPr fontId="3"/>
  </si>
  <si>
    <t>0017028</t>
  </si>
  <si>
    <t>2607-4766</t>
    <phoneticPr fontId="3"/>
  </si>
  <si>
    <t>16/07/2026</t>
    <phoneticPr fontId="3"/>
  </si>
  <si>
    <t>WH7/1568</t>
    <phoneticPr fontId="3"/>
  </si>
  <si>
    <t>2607-5136</t>
    <phoneticPr fontId="3"/>
  </si>
  <si>
    <t>0017029</t>
    <phoneticPr fontId="3"/>
  </si>
  <si>
    <t>2607-4758</t>
    <phoneticPr fontId="3"/>
  </si>
  <si>
    <t>WH7/1569</t>
    <phoneticPr fontId="3"/>
  </si>
  <si>
    <t>2607-5137</t>
    <phoneticPr fontId="3"/>
  </si>
  <si>
    <t>0017030</t>
    <phoneticPr fontId="3"/>
  </si>
  <si>
    <t>2607-4759</t>
    <phoneticPr fontId="3"/>
  </si>
  <si>
    <t>WH7/1570</t>
    <phoneticPr fontId="3"/>
  </si>
  <si>
    <t>2607-5138</t>
  </si>
  <si>
    <t>0017031</t>
  </si>
  <si>
    <t>2607-4760</t>
    <phoneticPr fontId="3"/>
  </si>
  <si>
    <t>WH7/1571</t>
    <phoneticPr fontId="3"/>
  </si>
  <si>
    <t>2607-5139</t>
    <phoneticPr fontId="3"/>
  </si>
  <si>
    <t>0017032</t>
    <phoneticPr fontId="3"/>
  </si>
  <si>
    <t>2607-4761</t>
    <phoneticPr fontId="3"/>
  </si>
  <si>
    <t>WH7/1578</t>
    <phoneticPr fontId="3"/>
  </si>
  <si>
    <t>2607-5140</t>
    <phoneticPr fontId="3"/>
  </si>
  <si>
    <t>0017033</t>
    <phoneticPr fontId="3"/>
  </si>
  <si>
    <t>2607-4772</t>
    <phoneticPr fontId="3"/>
  </si>
  <si>
    <t>WH7/1579</t>
    <phoneticPr fontId="3"/>
  </si>
  <si>
    <t>2607-5141</t>
    <phoneticPr fontId="3"/>
  </si>
  <si>
    <t>0017034</t>
    <phoneticPr fontId="3"/>
  </si>
  <si>
    <t>2607-4773</t>
    <phoneticPr fontId="3"/>
  </si>
  <si>
    <t>2607-5142</t>
    <phoneticPr fontId="3"/>
  </si>
  <si>
    <t>2607-5143</t>
  </si>
  <si>
    <t>2607-5144</t>
  </si>
  <si>
    <t>2607-5145</t>
  </si>
  <si>
    <t>WH1/1737</t>
    <phoneticPr fontId="3"/>
  </si>
  <si>
    <t>WH1/1739</t>
    <phoneticPr fontId="3"/>
  </si>
  <si>
    <t>017035</t>
    <phoneticPr fontId="3"/>
  </si>
  <si>
    <t>017036</t>
  </si>
  <si>
    <t>2607-4769</t>
    <phoneticPr fontId="3"/>
  </si>
  <si>
    <t>02741</t>
    <phoneticPr fontId="3"/>
  </si>
  <si>
    <t>WH1/1736</t>
    <phoneticPr fontId="3"/>
  </si>
  <si>
    <t>017037</t>
    <phoneticPr fontId="3"/>
  </si>
  <si>
    <t>26074768</t>
    <phoneticPr fontId="3"/>
  </si>
  <si>
    <t>02742</t>
    <phoneticPr fontId="3"/>
  </si>
  <si>
    <t>WH3/0587</t>
    <phoneticPr fontId="3"/>
  </si>
  <si>
    <t>2607-4771</t>
    <phoneticPr fontId="3"/>
  </si>
  <si>
    <t>02726</t>
    <phoneticPr fontId="3"/>
  </si>
  <si>
    <t>WH7/1577</t>
    <phoneticPr fontId="3"/>
  </si>
  <si>
    <t>2607-5146</t>
    <phoneticPr fontId="3"/>
  </si>
  <si>
    <t>0017038</t>
    <phoneticPr fontId="3"/>
  </si>
  <si>
    <t>2607-4770</t>
    <phoneticPr fontId="3"/>
  </si>
  <si>
    <t>WH1/1740</t>
    <phoneticPr fontId="3"/>
  </si>
  <si>
    <t>2607-4775</t>
    <phoneticPr fontId="3"/>
  </si>
  <si>
    <t>017039</t>
    <phoneticPr fontId="3"/>
  </si>
  <si>
    <t>SQ-2607-4869</t>
    <phoneticPr fontId="3"/>
  </si>
  <si>
    <t>WH7/1580</t>
    <phoneticPr fontId="3"/>
  </si>
  <si>
    <t>2607-5148</t>
    <phoneticPr fontId="3"/>
  </si>
  <si>
    <t>0017041</t>
    <phoneticPr fontId="3"/>
  </si>
  <si>
    <t>2607-4776</t>
    <phoneticPr fontId="3"/>
  </si>
  <si>
    <t>WH7/1584</t>
    <phoneticPr fontId="3"/>
  </si>
  <si>
    <t>2607-5149</t>
    <phoneticPr fontId="3"/>
  </si>
  <si>
    <t>0017042</t>
    <phoneticPr fontId="3"/>
  </si>
  <si>
    <t>1321/ກຄພນ</t>
    <phoneticPr fontId="3"/>
  </si>
  <si>
    <t>WH1/1742</t>
    <phoneticPr fontId="3"/>
  </si>
  <si>
    <t>2607-4783</t>
    <phoneticPr fontId="3"/>
  </si>
  <si>
    <t>017043</t>
    <phoneticPr fontId="3"/>
  </si>
  <si>
    <t>02747</t>
    <phoneticPr fontId="3"/>
  </si>
  <si>
    <t>WH1/1741</t>
    <phoneticPr fontId="3"/>
  </si>
  <si>
    <t>2607-4782</t>
    <phoneticPr fontId="3"/>
  </si>
  <si>
    <t>017044</t>
    <phoneticPr fontId="3"/>
  </si>
  <si>
    <t>02746</t>
    <phoneticPr fontId="3"/>
  </si>
  <si>
    <t>WH7/1581</t>
    <phoneticPr fontId="3"/>
  </si>
  <si>
    <t>2607-5152</t>
    <phoneticPr fontId="3"/>
  </si>
  <si>
    <t>0017045</t>
    <phoneticPr fontId="3"/>
  </si>
  <si>
    <t>2607-4777</t>
    <phoneticPr fontId="3"/>
  </si>
  <si>
    <t>WH7/1582</t>
    <phoneticPr fontId="3"/>
  </si>
  <si>
    <t>2607-5153</t>
    <phoneticPr fontId="3"/>
  </si>
  <si>
    <t>0017046</t>
    <phoneticPr fontId="3"/>
  </si>
  <si>
    <t>2607-4778</t>
    <phoneticPr fontId="3"/>
  </si>
  <si>
    <t>WH7/1583</t>
    <phoneticPr fontId="3"/>
  </si>
  <si>
    <t>2607-5154</t>
    <phoneticPr fontId="3"/>
  </si>
  <si>
    <t>0017047</t>
    <phoneticPr fontId="3"/>
  </si>
  <si>
    <t>2607-4779</t>
    <phoneticPr fontId="3"/>
  </si>
  <si>
    <t>2607-5150</t>
    <phoneticPr fontId="3"/>
  </si>
  <si>
    <t>2607-5147</t>
    <phoneticPr fontId="3"/>
  </si>
  <si>
    <t>2607-5151</t>
  </si>
  <si>
    <t>2607-5155</t>
    <phoneticPr fontId="3"/>
  </si>
  <si>
    <t>017048</t>
    <phoneticPr fontId="3"/>
  </si>
  <si>
    <t>2607-4784</t>
    <phoneticPr fontId="3"/>
  </si>
  <si>
    <t>02784</t>
    <phoneticPr fontId="3"/>
  </si>
  <si>
    <t>1321/ກຄພນ</t>
  </si>
  <si>
    <t>WH7/1585</t>
    <phoneticPr fontId="3"/>
  </si>
  <si>
    <t>WH7/1586</t>
  </si>
  <si>
    <t>2607-5156</t>
    <phoneticPr fontId="3"/>
  </si>
  <si>
    <t>2607-5157</t>
  </si>
  <si>
    <t>0017049</t>
    <phoneticPr fontId="3"/>
  </si>
  <si>
    <t>0017050</t>
  </si>
  <si>
    <t>17/07/2026</t>
  </si>
  <si>
    <t>17/07/2026</t>
    <phoneticPr fontId="3"/>
  </si>
  <si>
    <t>ທ້າວ ຈ່ອຍ ສອນນະພາ</t>
    <phoneticPr fontId="3"/>
  </si>
  <si>
    <t>[145[145656] M SUP FRICTION FIGHTER 5W-30 CTN 4X4L:SG</t>
    <phoneticPr fontId="3"/>
  </si>
  <si>
    <t>WH1/1744</t>
    <phoneticPr fontId="3"/>
  </si>
  <si>
    <t>2607-4785</t>
    <phoneticPr fontId="3"/>
  </si>
  <si>
    <t>017051</t>
    <phoneticPr fontId="3"/>
  </si>
  <si>
    <t>WH1/1743</t>
    <phoneticPr fontId="3"/>
  </si>
  <si>
    <t>2607-5159</t>
    <phoneticPr fontId="3"/>
  </si>
  <si>
    <t>02750</t>
    <phoneticPr fontId="3"/>
  </si>
  <si>
    <t>WH3/0588</t>
    <phoneticPr fontId="3"/>
  </si>
  <si>
    <t>WH3/0589</t>
    <phoneticPr fontId="3"/>
  </si>
  <si>
    <t>2607-5160</t>
  </si>
  <si>
    <t>2607-5161</t>
  </si>
  <si>
    <t>2607-5162</t>
  </si>
  <si>
    <t>2607-5163</t>
  </si>
  <si>
    <t>2607-4789</t>
    <phoneticPr fontId="3"/>
  </si>
  <si>
    <t>02751</t>
    <phoneticPr fontId="3"/>
  </si>
  <si>
    <t>WH3/0590</t>
    <phoneticPr fontId="3"/>
  </si>
  <si>
    <t>2607-4790</t>
    <phoneticPr fontId="3"/>
  </si>
  <si>
    <t>02752</t>
    <phoneticPr fontId="3"/>
  </si>
  <si>
    <t>WH8/00101</t>
    <phoneticPr fontId="3"/>
  </si>
  <si>
    <t>2607-4791</t>
    <phoneticPr fontId="3"/>
  </si>
  <si>
    <t>02753</t>
    <phoneticPr fontId="3"/>
  </si>
  <si>
    <t>ບໍລິສັດ ຂົນສົ່ງໂດຍສານຈິດປະສົງ ຈຳກັດ</t>
    <phoneticPr fontId="3"/>
  </si>
  <si>
    <t>331160263-0-00</t>
    <phoneticPr fontId="3"/>
  </si>
  <si>
    <t>WH1/1747</t>
    <phoneticPr fontId="3"/>
  </si>
  <si>
    <t>017053</t>
    <phoneticPr fontId="3"/>
  </si>
  <si>
    <t>2607-4795</t>
    <phoneticPr fontId="3"/>
  </si>
  <si>
    <t>WH1/1745</t>
    <phoneticPr fontId="3"/>
  </si>
  <si>
    <t>2607-5164</t>
  </si>
  <si>
    <t>2607-5165</t>
  </si>
  <si>
    <t>2607-5166</t>
  </si>
  <si>
    <t>2607-5167</t>
  </si>
  <si>
    <t>2607-5168</t>
  </si>
  <si>
    <t>2607-5169</t>
  </si>
  <si>
    <t>017054</t>
  </si>
  <si>
    <t>2607-4792</t>
    <phoneticPr fontId="3"/>
  </si>
  <si>
    <t>02754</t>
    <phoneticPr fontId="3"/>
  </si>
  <si>
    <t>WH3/0591</t>
    <phoneticPr fontId="3"/>
  </si>
  <si>
    <t>2607-4797</t>
    <phoneticPr fontId="3"/>
  </si>
  <si>
    <t>02756</t>
    <phoneticPr fontId="3"/>
  </si>
  <si>
    <t>WH3/0592</t>
    <phoneticPr fontId="3"/>
  </si>
  <si>
    <t>2607-4798</t>
    <phoneticPr fontId="3"/>
  </si>
  <si>
    <t>02758</t>
    <phoneticPr fontId="3"/>
  </si>
  <si>
    <t>WH3/0593</t>
    <phoneticPr fontId="3"/>
  </si>
  <si>
    <t>2607-4799</t>
    <phoneticPr fontId="3"/>
  </si>
  <si>
    <t>02757</t>
    <phoneticPr fontId="3"/>
  </si>
  <si>
    <t>WH6/0391</t>
    <phoneticPr fontId="3"/>
  </si>
  <si>
    <t>2607-4800</t>
    <phoneticPr fontId="3"/>
  </si>
  <si>
    <t>02759</t>
    <phoneticPr fontId="3"/>
  </si>
  <si>
    <t>WH6/0392</t>
    <phoneticPr fontId="3"/>
  </si>
  <si>
    <t>2607-4801</t>
    <phoneticPr fontId="3"/>
  </si>
  <si>
    <t>02760</t>
    <phoneticPr fontId="3"/>
  </si>
  <si>
    <t>WH1/1748</t>
    <phoneticPr fontId="3"/>
  </si>
  <si>
    <t>2607-5170</t>
    <phoneticPr fontId="3"/>
  </si>
  <si>
    <t>017055</t>
    <phoneticPr fontId="3"/>
  </si>
  <si>
    <t>02761</t>
    <phoneticPr fontId="3"/>
  </si>
  <si>
    <t>WH6/0393</t>
    <phoneticPr fontId="3"/>
  </si>
  <si>
    <t>2607-5171</t>
    <phoneticPr fontId="3"/>
  </si>
  <si>
    <t>02762</t>
    <phoneticPr fontId="3"/>
  </si>
  <si>
    <t>WH7/1589</t>
  </si>
  <si>
    <t>2607-5173</t>
  </si>
  <si>
    <t>0017057</t>
  </si>
  <si>
    <t>0017056</t>
    <phoneticPr fontId="3"/>
  </si>
  <si>
    <t>WH7/1588</t>
    <phoneticPr fontId="3"/>
  </si>
  <si>
    <t>2607-4793</t>
    <phoneticPr fontId="3"/>
  </si>
  <si>
    <t>2607-5172</t>
    <phoneticPr fontId="3"/>
  </si>
  <si>
    <t>WH7/1590</t>
    <phoneticPr fontId="3"/>
  </si>
  <si>
    <t>2607-5174</t>
    <phoneticPr fontId="3"/>
  </si>
  <si>
    <t>0017061</t>
    <phoneticPr fontId="3"/>
  </si>
  <si>
    <t>2607-4804</t>
    <phoneticPr fontId="3"/>
  </si>
  <si>
    <t>WH7/1591</t>
    <phoneticPr fontId="3"/>
  </si>
  <si>
    <t>2607-5175</t>
    <phoneticPr fontId="3"/>
  </si>
  <si>
    <t>0017062</t>
    <phoneticPr fontId="3"/>
  </si>
  <si>
    <t>WH7/1592</t>
    <phoneticPr fontId="3"/>
  </si>
  <si>
    <t>2607-5176</t>
    <phoneticPr fontId="3"/>
  </si>
  <si>
    <t>0017063</t>
    <phoneticPr fontId="3"/>
  </si>
  <si>
    <t>WH3/0594</t>
    <phoneticPr fontId="3"/>
  </si>
  <si>
    <t>2607-5177</t>
    <phoneticPr fontId="3"/>
  </si>
  <si>
    <t>2607-4807</t>
    <phoneticPr fontId="3"/>
  </si>
  <si>
    <t>02763</t>
    <phoneticPr fontId="3"/>
  </si>
  <si>
    <t>WH3/0595</t>
    <phoneticPr fontId="3"/>
  </si>
  <si>
    <t>2607-5178</t>
  </si>
  <si>
    <t>2607-5179</t>
  </si>
  <si>
    <t>02765</t>
    <phoneticPr fontId="3"/>
  </si>
  <si>
    <t>WH1/1749</t>
    <phoneticPr fontId="3"/>
  </si>
  <si>
    <t>017064</t>
    <phoneticPr fontId="3"/>
  </si>
  <si>
    <t>2607-4809</t>
    <phoneticPr fontId="3"/>
  </si>
  <si>
    <t>02766</t>
    <phoneticPr fontId="3"/>
  </si>
  <si>
    <t>WH1/1750</t>
    <phoneticPr fontId="3"/>
  </si>
  <si>
    <t>2607-5181</t>
    <phoneticPr fontId="3"/>
  </si>
  <si>
    <t>017074</t>
    <phoneticPr fontId="3"/>
  </si>
  <si>
    <t>2607-4812</t>
    <phoneticPr fontId="3"/>
  </si>
  <si>
    <t>18/07/2026</t>
    <phoneticPr fontId="3"/>
  </si>
  <si>
    <t>ບໍລິສັດ ໂລ ປີໂຕລ້ຽມ (ຈຳໜ່າຍພາຍໃນ) ຈຳກັດ</t>
    <phoneticPr fontId="3"/>
  </si>
  <si>
    <t>305256248-0-00</t>
    <phoneticPr fontId="3"/>
  </si>
  <si>
    <t>WH1/1751</t>
  </si>
  <si>
    <t>WH1/1752</t>
  </si>
  <si>
    <t>2607-5182</t>
  </si>
  <si>
    <t>2607-5183</t>
  </si>
  <si>
    <t>017075</t>
  </si>
  <si>
    <t>017076</t>
  </si>
  <si>
    <t>20/07/2026</t>
    <phoneticPr fontId="3"/>
  </si>
  <si>
    <t>PO.011/LO-2026</t>
    <phoneticPr fontId="3"/>
  </si>
  <si>
    <t>WH2/1188</t>
    <phoneticPr fontId="3"/>
  </si>
  <si>
    <t>2607-4810</t>
    <phoneticPr fontId="3"/>
  </si>
  <si>
    <t>2607-5184</t>
  </si>
  <si>
    <t>205/SCH.KM10</t>
    <phoneticPr fontId="3"/>
  </si>
  <si>
    <t>WH6/0394</t>
    <phoneticPr fontId="3"/>
  </si>
  <si>
    <t>2607-5186</t>
    <phoneticPr fontId="3"/>
  </si>
  <si>
    <t>21/07/2026</t>
    <phoneticPr fontId="3"/>
  </si>
  <si>
    <t>02769</t>
    <phoneticPr fontId="3"/>
  </si>
  <si>
    <t>WH8/00103</t>
    <phoneticPr fontId="3"/>
  </si>
  <si>
    <t>2607-5187</t>
    <phoneticPr fontId="3"/>
  </si>
  <si>
    <t>02772</t>
    <phoneticPr fontId="3"/>
  </si>
  <si>
    <t>WH2/1183</t>
    <phoneticPr fontId="3"/>
  </si>
  <si>
    <t>2607-5188</t>
    <phoneticPr fontId="3"/>
  </si>
  <si>
    <t>2607-4767</t>
    <phoneticPr fontId="3"/>
  </si>
  <si>
    <t>02727</t>
    <phoneticPr fontId="3"/>
  </si>
  <si>
    <t>WH2/1184</t>
    <phoneticPr fontId="3"/>
  </si>
  <si>
    <t>2607-4774</t>
    <phoneticPr fontId="3"/>
  </si>
  <si>
    <t>2607-5189</t>
  </si>
  <si>
    <t>2607-5190</t>
  </si>
  <si>
    <t>2607-5191</t>
  </si>
  <si>
    <t>2607-5192</t>
  </si>
  <si>
    <t>2607-5193</t>
  </si>
  <si>
    <t>2607-5194</t>
  </si>
  <si>
    <t>2607-5195</t>
  </si>
  <si>
    <t>02744</t>
    <phoneticPr fontId="3"/>
  </si>
  <si>
    <t>WH2/1186</t>
    <phoneticPr fontId="3"/>
  </si>
  <si>
    <t>2607-4787</t>
    <phoneticPr fontId="3"/>
  </si>
  <si>
    <t>02749</t>
    <phoneticPr fontId="3"/>
  </si>
  <si>
    <t>WH2/1187</t>
    <phoneticPr fontId="3"/>
  </si>
  <si>
    <t>2607-4796</t>
    <phoneticPr fontId="3"/>
  </si>
  <si>
    <t>02755</t>
    <phoneticPr fontId="3"/>
  </si>
  <si>
    <t>WH1/1753</t>
    <phoneticPr fontId="3"/>
  </si>
  <si>
    <t>WH1/1755</t>
    <phoneticPr fontId="3"/>
  </si>
  <si>
    <t>017080</t>
    <phoneticPr fontId="3"/>
  </si>
  <si>
    <t>02771</t>
    <phoneticPr fontId="3"/>
  </si>
  <si>
    <t>WH1/1754</t>
    <phoneticPr fontId="3"/>
  </si>
  <si>
    <t>017084</t>
    <phoneticPr fontId="3"/>
  </si>
  <si>
    <t>02770</t>
    <phoneticPr fontId="3"/>
  </si>
  <si>
    <t>017087</t>
    <phoneticPr fontId="3"/>
  </si>
  <si>
    <t>02768</t>
    <phoneticPr fontId="3"/>
  </si>
  <si>
    <t>WH1/1756</t>
    <phoneticPr fontId="3"/>
  </si>
  <si>
    <t>017088</t>
    <phoneticPr fontId="3"/>
  </si>
  <si>
    <t>02773</t>
    <phoneticPr fontId="3"/>
  </si>
  <si>
    <t>WH7/1594</t>
    <phoneticPr fontId="3"/>
  </si>
  <si>
    <t>2607-5196</t>
    <phoneticPr fontId="3"/>
  </si>
  <si>
    <t>0017089</t>
    <phoneticPr fontId="3"/>
  </si>
  <si>
    <t>2607-4814</t>
    <phoneticPr fontId="3"/>
  </si>
  <si>
    <t>WH7/1593</t>
    <phoneticPr fontId="3"/>
  </si>
  <si>
    <t>2607-5197</t>
    <phoneticPr fontId="3"/>
  </si>
  <si>
    <t>0017090</t>
    <phoneticPr fontId="3"/>
  </si>
  <si>
    <t>2607-4813</t>
    <phoneticPr fontId="3"/>
  </si>
  <si>
    <t>WH7/1595</t>
    <phoneticPr fontId="3"/>
  </si>
  <si>
    <t>2607-5198</t>
    <phoneticPr fontId="3"/>
  </si>
  <si>
    <t>0017091</t>
    <phoneticPr fontId="3"/>
  </si>
  <si>
    <t>2607-4815</t>
    <phoneticPr fontId="3"/>
  </si>
  <si>
    <t>WH7/1596</t>
    <phoneticPr fontId="3"/>
  </si>
  <si>
    <t>2607-5199</t>
    <phoneticPr fontId="3"/>
  </si>
  <si>
    <t>0017092</t>
    <phoneticPr fontId="3"/>
  </si>
  <si>
    <t>2607-4816</t>
    <phoneticPr fontId="3"/>
  </si>
  <si>
    <t>WH3/0597</t>
    <phoneticPr fontId="3"/>
  </si>
  <si>
    <t>2607-5200</t>
    <phoneticPr fontId="3"/>
  </si>
  <si>
    <t>21/07/2026</t>
  </si>
  <si>
    <t>02777</t>
    <phoneticPr fontId="3"/>
  </si>
  <si>
    <t>WH3/0596</t>
    <phoneticPr fontId="3"/>
  </si>
  <si>
    <t>2607-5201</t>
  </si>
  <si>
    <t>2607-5202</t>
  </si>
  <si>
    <t>2607-5204</t>
  </si>
  <si>
    <t>02776</t>
    <phoneticPr fontId="3"/>
  </si>
  <si>
    <t>WH2/1189</t>
    <phoneticPr fontId="3"/>
  </si>
  <si>
    <t>02775</t>
    <phoneticPr fontId="3"/>
  </si>
  <si>
    <t>WH7/1602</t>
    <phoneticPr fontId="3"/>
  </si>
  <si>
    <t>2607-5203</t>
    <phoneticPr fontId="3"/>
  </si>
  <si>
    <t>0017093</t>
    <phoneticPr fontId="3"/>
  </si>
  <si>
    <t>WH8/00104</t>
    <phoneticPr fontId="3"/>
  </si>
  <si>
    <t>02778</t>
    <phoneticPr fontId="3"/>
  </si>
  <si>
    <t>ບໍລິສັດ ພີເອ ກໍສ້າງ ຈຳກັດຜູ້ດຽວ</t>
    <phoneticPr fontId="3"/>
  </si>
  <si>
    <t>468611019-0-00</t>
    <phoneticPr fontId="3"/>
  </si>
  <si>
    <t>WH6/0395</t>
    <phoneticPr fontId="3"/>
  </si>
  <si>
    <t>2607-5205</t>
  </si>
  <si>
    <t>2607-5208</t>
  </si>
  <si>
    <t>0146/ດຈລ</t>
    <phoneticPr fontId="3"/>
  </si>
  <si>
    <t>WH7/1603</t>
    <phoneticPr fontId="3"/>
  </si>
  <si>
    <t>2607-5206</t>
    <phoneticPr fontId="3"/>
  </si>
  <si>
    <t>0017096</t>
    <phoneticPr fontId="3"/>
  </si>
  <si>
    <t>WH7/1597</t>
    <phoneticPr fontId="3"/>
  </si>
  <si>
    <t>2607-5207</t>
    <phoneticPr fontId="3"/>
  </si>
  <si>
    <t>0017097</t>
    <phoneticPr fontId="3"/>
  </si>
  <si>
    <t>2607-4817</t>
    <phoneticPr fontId="3"/>
  </si>
  <si>
    <t>WH7/1598</t>
    <phoneticPr fontId="3"/>
  </si>
  <si>
    <t>0017098</t>
    <phoneticPr fontId="3"/>
  </si>
  <si>
    <t>2607-4818</t>
    <phoneticPr fontId="3"/>
  </si>
  <si>
    <t>WH7/1599</t>
    <phoneticPr fontId="3"/>
  </si>
  <si>
    <t>2607-5209</t>
    <phoneticPr fontId="3"/>
  </si>
  <si>
    <t>0017099</t>
    <phoneticPr fontId="3"/>
  </si>
  <si>
    <t>ບໍລິສັດ ສົມໃຈຫຼັກ10(ຈຳໜ໋າຍນ້ຳມັນພາຍໃນ) ຈຳກັດຜູ້ດຽວ</t>
  </si>
  <si>
    <t>546578734-0-00</t>
  </si>
  <si>
    <t>WH2/1190</t>
    <phoneticPr fontId="3"/>
  </si>
  <si>
    <t>WH2/1192</t>
    <phoneticPr fontId="3"/>
  </si>
  <si>
    <t>WH2/1193</t>
  </si>
  <si>
    <t>206/SCH.KM10</t>
    <phoneticPr fontId="3"/>
  </si>
  <si>
    <t>2607-5210</t>
    <phoneticPr fontId="3"/>
  </si>
  <si>
    <t>2607-5211</t>
  </si>
  <si>
    <t>2607-5212</t>
  </si>
  <si>
    <t>2607-5213</t>
  </si>
  <si>
    <t>WH3/0598</t>
    <phoneticPr fontId="3"/>
  </si>
  <si>
    <t>02781</t>
    <phoneticPr fontId="3"/>
  </si>
  <si>
    <t>WH2/1191</t>
    <phoneticPr fontId="3"/>
  </si>
  <si>
    <t>2607-5214</t>
    <phoneticPr fontId="3"/>
  </si>
  <si>
    <t>02783</t>
    <phoneticPr fontId="3"/>
  </si>
  <si>
    <t>WH1/1758</t>
    <phoneticPr fontId="3"/>
  </si>
  <si>
    <t>2607-5215</t>
    <phoneticPr fontId="3"/>
  </si>
  <si>
    <t>017101</t>
    <phoneticPr fontId="3"/>
  </si>
  <si>
    <t>02782</t>
    <phoneticPr fontId="3"/>
  </si>
  <si>
    <t>WH1/1757</t>
    <phoneticPr fontId="3"/>
  </si>
  <si>
    <t>2607-5216</t>
    <phoneticPr fontId="3"/>
  </si>
  <si>
    <t>017102</t>
    <phoneticPr fontId="3"/>
  </si>
  <si>
    <t>02780</t>
    <phoneticPr fontId="3"/>
  </si>
  <si>
    <t>WH7/1600</t>
    <phoneticPr fontId="3"/>
  </si>
  <si>
    <t>2607-5217</t>
    <phoneticPr fontId="3"/>
  </si>
  <si>
    <t>0017105</t>
    <phoneticPr fontId="3"/>
  </si>
  <si>
    <t>WH7/1601</t>
    <phoneticPr fontId="3"/>
  </si>
  <si>
    <t>2607-5218</t>
    <phoneticPr fontId="3"/>
  </si>
  <si>
    <t>0017107</t>
    <phoneticPr fontId="3"/>
  </si>
  <si>
    <t>19/07/2026</t>
    <phoneticPr fontId="3"/>
  </si>
  <si>
    <t>WH2/1194</t>
    <phoneticPr fontId="3"/>
  </si>
  <si>
    <t>2607-5219</t>
    <phoneticPr fontId="3"/>
  </si>
  <si>
    <t>02785</t>
    <phoneticPr fontId="3"/>
  </si>
  <si>
    <t>WH1/1760</t>
    <phoneticPr fontId="3"/>
  </si>
  <si>
    <t>2607-5220</t>
    <phoneticPr fontId="3"/>
  </si>
  <si>
    <t>017110</t>
    <phoneticPr fontId="3"/>
  </si>
  <si>
    <t>02786</t>
    <phoneticPr fontId="3"/>
  </si>
  <si>
    <t>WH8/00105</t>
    <phoneticPr fontId="3"/>
  </si>
  <si>
    <t>2607-5221</t>
    <phoneticPr fontId="3"/>
  </si>
  <si>
    <t>2607-4851</t>
    <phoneticPr fontId="3"/>
  </si>
  <si>
    <t>02788</t>
    <phoneticPr fontId="3"/>
  </si>
  <si>
    <t>WH6/0397</t>
    <phoneticPr fontId="3"/>
  </si>
  <si>
    <t>2607-5222</t>
    <phoneticPr fontId="3"/>
  </si>
  <si>
    <t>02787</t>
    <phoneticPr fontId="3"/>
  </si>
  <si>
    <t>WH6/0398</t>
    <phoneticPr fontId="3"/>
  </si>
  <si>
    <t>2607-5223</t>
    <phoneticPr fontId="3"/>
  </si>
  <si>
    <t>WH2/1195</t>
    <phoneticPr fontId="3"/>
  </si>
  <si>
    <t>2607-5224</t>
  </si>
  <si>
    <t>2607-5227</t>
  </si>
  <si>
    <t>2607-5228</t>
  </si>
  <si>
    <t>2607-5230</t>
  </si>
  <si>
    <t>2607-5231</t>
  </si>
  <si>
    <t>2607-5234</t>
  </si>
  <si>
    <t>2607-5235</t>
  </si>
  <si>
    <t>2607-4853</t>
    <phoneticPr fontId="3"/>
  </si>
  <si>
    <t>02789</t>
    <phoneticPr fontId="3"/>
  </si>
  <si>
    <t>WH7/1606</t>
    <phoneticPr fontId="3"/>
  </si>
  <si>
    <t>2607-5225</t>
    <phoneticPr fontId="3"/>
  </si>
  <si>
    <t>0017113</t>
    <phoneticPr fontId="3"/>
  </si>
  <si>
    <t>2607-4840</t>
    <phoneticPr fontId="3"/>
  </si>
  <si>
    <t>WH7/1605</t>
    <phoneticPr fontId="3"/>
  </si>
  <si>
    <t>2607-5226</t>
    <phoneticPr fontId="3"/>
  </si>
  <si>
    <t>0017114</t>
    <phoneticPr fontId="3"/>
  </si>
  <si>
    <t>2607-4839</t>
    <phoneticPr fontId="3"/>
  </si>
  <si>
    <t>WH7/1604</t>
    <phoneticPr fontId="3"/>
  </si>
  <si>
    <t>0017115</t>
    <phoneticPr fontId="3"/>
  </si>
  <si>
    <t>WH7/1607</t>
    <phoneticPr fontId="3"/>
  </si>
  <si>
    <t>0017116</t>
  </si>
  <si>
    <t>2607-4841</t>
    <phoneticPr fontId="3"/>
  </si>
  <si>
    <t>WH7/1608</t>
    <phoneticPr fontId="3"/>
  </si>
  <si>
    <t>2607-5229</t>
    <phoneticPr fontId="3"/>
  </si>
  <si>
    <t>0017117</t>
    <phoneticPr fontId="3"/>
  </si>
  <si>
    <t>WH1/1761</t>
    <phoneticPr fontId="3"/>
  </si>
  <si>
    <t>017118</t>
    <phoneticPr fontId="3"/>
  </si>
  <si>
    <t>2607-4854</t>
    <phoneticPr fontId="3"/>
  </si>
  <si>
    <t>02790</t>
    <phoneticPr fontId="3"/>
  </si>
  <si>
    <t>WH6/0399</t>
    <phoneticPr fontId="3"/>
  </si>
  <si>
    <t>2607-4855</t>
    <phoneticPr fontId="3"/>
  </si>
  <si>
    <t>02791</t>
    <phoneticPr fontId="3"/>
  </si>
  <si>
    <t>WH7/1609</t>
    <phoneticPr fontId="3"/>
  </si>
  <si>
    <t>2607-5232</t>
    <phoneticPr fontId="3"/>
  </si>
  <si>
    <t>001723</t>
    <phoneticPr fontId="3"/>
  </si>
  <si>
    <t>2607-4856</t>
    <phoneticPr fontId="3"/>
  </si>
  <si>
    <t>22/07/2026</t>
    <phoneticPr fontId="3"/>
  </si>
  <si>
    <t>WH3/0599</t>
    <phoneticPr fontId="3"/>
  </si>
  <si>
    <t>2607-5237</t>
  </si>
  <si>
    <t>2607-5240</t>
  </si>
  <si>
    <t>2607-5241</t>
  </si>
  <si>
    <t>2607-5242</t>
  </si>
  <si>
    <t>2607-5243</t>
  </si>
  <si>
    <t>2607-4860</t>
    <phoneticPr fontId="3"/>
  </si>
  <si>
    <t>02793</t>
    <phoneticPr fontId="3"/>
  </si>
  <si>
    <t>WH2/1196</t>
    <phoneticPr fontId="3"/>
  </si>
  <si>
    <t>2607-4859</t>
    <phoneticPr fontId="3"/>
  </si>
  <si>
    <t>02792</t>
    <phoneticPr fontId="3"/>
  </si>
  <si>
    <t>[120650] MOBILUBE HD 80W90 208LT DR (Lot)</t>
  </si>
  <si>
    <t>[140710] MOBIL DELVAC MX ESP 15W40 CTN 4X5L:SG</t>
  </si>
  <si>
    <t>[140523] MOBIL 1 0W-40 CTN 12X1L:SG</t>
  </si>
  <si>
    <t>WH1/1762</t>
    <phoneticPr fontId="3"/>
  </si>
  <si>
    <t>2607-4861</t>
    <phoneticPr fontId="3"/>
  </si>
  <si>
    <t>017125</t>
    <phoneticPr fontId="3"/>
  </si>
  <si>
    <t>5</t>
    <phoneticPr fontId="3"/>
  </si>
  <si>
    <t>WH2/1197</t>
    <phoneticPr fontId="3"/>
  </si>
  <si>
    <t>2607-4863</t>
    <phoneticPr fontId="3"/>
  </si>
  <si>
    <t>02779</t>
    <phoneticPr fontId="3"/>
  </si>
  <si>
    <t>WH7/1611</t>
    <phoneticPr fontId="3"/>
  </si>
  <si>
    <t>2607-5233</t>
    <phoneticPr fontId="3"/>
  </si>
  <si>
    <t>0017126</t>
    <phoneticPr fontId="3"/>
  </si>
  <si>
    <t>2607-4858</t>
    <phoneticPr fontId="3"/>
  </si>
  <si>
    <t>WH7/1610</t>
    <phoneticPr fontId="3"/>
  </si>
  <si>
    <t>0017127</t>
    <phoneticPr fontId="3"/>
  </si>
  <si>
    <t>2607-4857</t>
    <phoneticPr fontId="3"/>
  </si>
  <si>
    <t>2607-5238</t>
    <phoneticPr fontId="3"/>
  </si>
  <si>
    <t>ບໍລິສັດ ເປໂທຣລີແມັກ (ລາວ) ຈຳໜ່າຍພາຍໃນຈຳກັດຜູ້ດຽວ</t>
    <phoneticPr fontId="3"/>
  </si>
  <si>
    <t>WH2/1198</t>
  </si>
  <si>
    <t>WH2/1200</t>
    <phoneticPr fontId="3"/>
  </si>
  <si>
    <t>2607-5239</t>
    <phoneticPr fontId="3"/>
  </si>
  <si>
    <t>2607-4864</t>
    <phoneticPr fontId="3"/>
  </si>
  <si>
    <t>WH2/1199</t>
    <phoneticPr fontId="3"/>
  </si>
  <si>
    <t>2607-5244</t>
  </si>
  <si>
    <t>2607-4867</t>
    <phoneticPr fontId="3"/>
  </si>
  <si>
    <t>02797</t>
    <phoneticPr fontId="3"/>
  </si>
  <si>
    <t>WH3/0600</t>
    <phoneticPr fontId="3"/>
  </si>
  <si>
    <t>2607-4865</t>
    <phoneticPr fontId="3"/>
  </si>
  <si>
    <t>02795</t>
    <phoneticPr fontId="3"/>
  </si>
  <si>
    <t>WH6/0400</t>
    <phoneticPr fontId="3"/>
  </si>
  <si>
    <t>2607-4866</t>
    <phoneticPr fontId="3"/>
  </si>
  <si>
    <t>02796</t>
    <phoneticPr fontId="3"/>
  </si>
  <si>
    <t>WH1/1764</t>
    <phoneticPr fontId="3"/>
  </si>
  <si>
    <t>017128</t>
    <phoneticPr fontId="3"/>
  </si>
  <si>
    <t>2607-4869</t>
    <phoneticPr fontId="3"/>
  </si>
  <si>
    <t>02798</t>
    <phoneticPr fontId="3"/>
  </si>
  <si>
    <t>WH6/0401</t>
    <phoneticPr fontId="3"/>
  </si>
  <si>
    <t>2607-5252</t>
    <phoneticPr fontId="3"/>
  </si>
  <si>
    <t>2607-4879</t>
    <phoneticPr fontId="3"/>
  </si>
  <si>
    <t>02800</t>
    <phoneticPr fontId="3"/>
  </si>
  <si>
    <t>WH3/0601</t>
    <phoneticPr fontId="3"/>
  </si>
  <si>
    <t>2607-5253</t>
  </si>
  <si>
    <t>2607-4882</t>
    <phoneticPr fontId="3"/>
  </si>
  <si>
    <t>017154</t>
    <phoneticPr fontId="3"/>
  </si>
  <si>
    <t>02802</t>
    <phoneticPr fontId="3"/>
  </si>
  <si>
    <t>2607-5248</t>
    <phoneticPr fontId="3"/>
  </si>
  <si>
    <t>2607-4873</t>
    <phoneticPr fontId="3"/>
  </si>
  <si>
    <t>02799</t>
    <phoneticPr fontId="3"/>
  </si>
  <si>
    <t>[142043] Mobil DTE 26 Ultra, Drum 208L</t>
  </si>
  <si>
    <t>[132820] MOBILGEAR 600 XP 320, PAIL</t>
  </si>
  <si>
    <t>WH1/1768</t>
    <phoneticPr fontId="3"/>
  </si>
  <si>
    <t>017136</t>
    <phoneticPr fontId="3"/>
  </si>
  <si>
    <t>2607-5247</t>
    <phoneticPr fontId="3"/>
  </si>
  <si>
    <t>[140149] MOBILGREASE XHP 222 DRUM 180KG:SG</t>
    <phoneticPr fontId="3"/>
  </si>
  <si>
    <t>WH1/1766</t>
    <phoneticPr fontId="3"/>
  </si>
  <si>
    <t>2607-5245</t>
    <phoneticPr fontId="3"/>
  </si>
  <si>
    <t>017132</t>
    <phoneticPr fontId="3"/>
  </si>
  <si>
    <t>15</t>
    <phoneticPr fontId="3"/>
  </si>
  <si>
    <t>WH1/1767</t>
    <phoneticPr fontId="3"/>
  </si>
  <si>
    <t>2607-5246</t>
    <phoneticPr fontId="3"/>
  </si>
  <si>
    <t>017133</t>
    <phoneticPr fontId="3"/>
  </si>
  <si>
    <t>23</t>
    <phoneticPr fontId="3"/>
  </si>
  <si>
    <t>[122151] MOBIL RARUS 424  208LT  DR</t>
    <phoneticPr fontId="3"/>
  </si>
  <si>
    <t>[130356] NUTO H 68, 208LT, DR, MET</t>
    <phoneticPr fontId="3"/>
  </si>
  <si>
    <t>[120650] MOBILUBE HD 80W90 208LT DR (Lot)</t>
    <phoneticPr fontId="3"/>
  </si>
  <si>
    <t>[140150] MOBILGREASE XHP 222SPECIAL DRUM 180KG:SG (Lot)</t>
  </si>
  <si>
    <t>WH1/1771</t>
    <phoneticPr fontId="3"/>
  </si>
  <si>
    <t>2607-5249</t>
    <phoneticPr fontId="3"/>
  </si>
  <si>
    <t>017138</t>
    <phoneticPr fontId="3"/>
  </si>
  <si>
    <t>39</t>
    <phoneticPr fontId="3"/>
  </si>
  <si>
    <t>16</t>
    <phoneticPr fontId="3"/>
  </si>
  <si>
    <t>30</t>
    <phoneticPr fontId="3"/>
  </si>
  <si>
    <t>10</t>
    <phoneticPr fontId="3"/>
  </si>
  <si>
    <t>8</t>
    <phoneticPr fontId="3"/>
  </si>
  <si>
    <t>WH7/1612</t>
    <phoneticPr fontId="3"/>
  </si>
  <si>
    <t>2607-5250</t>
    <phoneticPr fontId="3"/>
  </si>
  <si>
    <t>0017140</t>
    <phoneticPr fontId="3"/>
  </si>
  <si>
    <t>WH8/00107</t>
    <phoneticPr fontId="3"/>
  </si>
  <si>
    <t>2607-5254</t>
    <phoneticPr fontId="3"/>
  </si>
  <si>
    <t>2607-4883</t>
    <phoneticPr fontId="3"/>
  </si>
  <si>
    <t>02803</t>
    <phoneticPr fontId="3"/>
  </si>
  <si>
    <t>WH8/00106</t>
    <phoneticPr fontId="3"/>
  </si>
  <si>
    <t>2607-5251</t>
    <phoneticPr fontId="3"/>
  </si>
  <si>
    <t>2607-4880</t>
    <phoneticPr fontId="3"/>
  </si>
  <si>
    <t>02801</t>
    <phoneticPr fontId="3"/>
  </si>
  <si>
    <t>WH2/1201</t>
    <phoneticPr fontId="3"/>
  </si>
  <si>
    <t>2607-5255</t>
  </si>
  <si>
    <t>2607-4885</t>
    <phoneticPr fontId="3"/>
  </si>
  <si>
    <t>02805</t>
    <phoneticPr fontId="3"/>
  </si>
  <si>
    <t>WH2/1202</t>
    <phoneticPr fontId="3"/>
  </si>
  <si>
    <t>2607-5256</t>
  </si>
  <si>
    <t>WH1/1773</t>
    <phoneticPr fontId="3"/>
  </si>
  <si>
    <t>2607-5257</t>
    <phoneticPr fontId="3"/>
  </si>
  <si>
    <t>017147</t>
    <phoneticPr fontId="3"/>
  </si>
  <si>
    <t>02804</t>
    <phoneticPr fontId="3"/>
  </si>
  <si>
    <t>[144707] MOBIL DELVAC LEGEND 1640, 20L PAIL</t>
  </si>
  <si>
    <t>[146710] Mobil Delvac Modern. Coolant Extended Life 1/200 LT</t>
    <phoneticPr fontId="3"/>
  </si>
  <si>
    <t>WH1/1774</t>
    <phoneticPr fontId="3"/>
  </si>
  <si>
    <t>2607-5258</t>
    <phoneticPr fontId="3"/>
  </si>
  <si>
    <t>017150</t>
    <phoneticPr fontId="3"/>
  </si>
  <si>
    <t>13</t>
    <phoneticPr fontId="3"/>
  </si>
  <si>
    <t>6</t>
    <phoneticPr fontId="3"/>
  </si>
  <si>
    <t>7</t>
    <phoneticPr fontId="3"/>
  </si>
  <si>
    <t>WH3/0604</t>
    <phoneticPr fontId="3"/>
  </si>
  <si>
    <t>2607-5259</t>
    <phoneticPr fontId="3"/>
  </si>
  <si>
    <t>2607-4889</t>
    <phoneticPr fontId="3"/>
  </si>
  <si>
    <t>23/07/2026</t>
    <phoneticPr fontId="3"/>
  </si>
  <si>
    <t>02809</t>
    <phoneticPr fontId="3"/>
  </si>
  <si>
    <t>WH3/0603</t>
    <phoneticPr fontId="3"/>
  </si>
  <si>
    <t>2607-5260</t>
  </si>
  <si>
    <t>2607-5261</t>
  </si>
  <si>
    <t>02808</t>
    <phoneticPr fontId="3"/>
  </si>
  <si>
    <t>WH1/1775</t>
    <phoneticPr fontId="3"/>
  </si>
  <si>
    <t>2607-4887</t>
    <phoneticPr fontId="3"/>
  </si>
  <si>
    <t>02806</t>
    <phoneticPr fontId="3"/>
  </si>
  <si>
    <t>WH1/1776</t>
    <phoneticPr fontId="3"/>
  </si>
  <si>
    <t>2607-5262</t>
    <phoneticPr fontId="3"/>
  </si>
  <si>
    <t>12</t>
    <phoneticPr fontId="3"/>
  </si>
  <si>
    <t>WH1/1777</t>
    <phoneticPr fontId="3"/>
  </si>
  <si>
    <t>2607-5263</t>
    <phoneticPr fontId="3"/>
  </si>
  <si>
    <t>017153</t>
    <phoneticPr fontId="3"/>
  </si>
  <si>
    <t>2607-4891</t>
    <phoneticPr fontId="3"/>
  </si>
  <si>
    <t>02810</t>
    <phoneticPr fontId="3"/>
  </si>
  <si>
    <t>WH1/1778</t>
    <phoneticPr fontId="3"/>
  </si>
  <si>
    <t>2607-5264</t>
    <phoneticPr fontId="3"/>
  </si>
  <si>
    <t>017155</t>
    <phoneticPr fontId="3"/>
  </si>
  <si>
    <t>2607-4895</t>
    <phoneticPr fontId="3"/>
  </si>
  <si>
    <t>02811</t>
    <phoneticPr fontId="3"/>
  </si>
  <si>
    <t>WH7/1614</t>
    <phoneticPr fontId="3"/>
  </si>
  <si>
    <t>2607-5265</t>
    <phoneticPr fontId="3"/>
  </si>
  <si>
    <t>1350/ກຄພນ</t>
  </si>
  <si>
    <t>1350/ກຄພນ</t>
    <phoneticPr fontId="3"/>
  </si>
  <si>
    <t>WH1/1779</t>
    <phoneticPr fontId="3"/>
  </si>
  <si>
    <t>2607-5266</t>
    <phoneticPr fontId="3"/>
  </si>
  <si>
    <t>017157</t>
    <phoneticPr fontId="3"/>
  </si>
  <si>
    <t>02812</t>
    <phoneticPr fontId="3"/>
  </si>
  <si>
    <t>WH3/0605</t>
    <phoneticPr fontId="3"/>
  </si>
  <si>
    <t>2607-5267</t>
  </si>
  <si>
    <t>2607-5268</t>
  </si>
  <si>
    <t>2607-5269</t>
  </si>
  <si>
    <t>2607-5270</t>
  </si>
  <si>
    <t>2607-4898</t>
    <phoneticPr fontId="3"/>
  </si>
  <si>
    <t>02814</t>
    <phoneticPr fontId="3"/>
  </si>
  <si>
    <t>WH11780</t>
    <phoneticPr fontId="3"/>
  </si>
  <si>
    <t>017158</t>
    <phoneticPr fontId="3"/>
  </si>
  <si>
    <t>02813</t>
    <phoneticPr fontId="3"/>
  </si>
  <si>
    <t>WH1/1781</t>
    <phoneticPr fontId="3"/>
  </si>
  <si>
    <t>017159</t>
    <phoneticPr fontId="3"/>
  </si>
  <si>
    <t>2607-4899</t>
    <phoneticPr fontId="3"/>
  </si>
  <si>
    <t>02815</t>
    <phoneticPr fontId="3"/>
  </si>
  <si>
    <t>WH8/00108</t>
    <phoneticPr fontId="3"/>
  </si>
  <si>
    <t>02816</t>
    <phoneticPr fontId="3"/>
  </si>
  <si>
    <t>WH1/1782</t>
    <phoneticPr fontId="3"/>
  </si>
  <si>
    <t>017161</t>
    <phoneticPr fontId="3"/>
  </si>
  <si>
    <t>2607-4901</t>
    <phoneticPr fontId="3"/>
  </si>
  <si>
    <t>02817</t>
    <phoneticPr fontId="3"/>
  </si>
  <si>
    <t>[123205] MOBIL BRAKE FLUID DOT 4, 12x0.5LT CTN</t>
  </si>
  <si>
    <t>WH1/1784</t>
    <phoneticPr fontId="3"/>
  </si>
  <si>
    <t>2607-5273</t>
    <phoneticPr fontId="3"/>
  </si>
  <si>
    <t>017162</t>
    <phoneticPr fontId="3"/>
  </si>
  <si>
    <t>WH7/1615</t>
    <phoneticPr fontId="3"/>
  </si>
  <si>
    <t>2607-5274</t>
    <phoneticPr fontId="3"/>
  </si>
  <si>
    <t>0017156</t>
    <phoneticPr fontId="3"/>
  </si>
  <si>
    <t>0017163</t>
    <phoneticPr fontId="3"/>
  </si>
  <si>
    <t>WH1/1787</t>
    <phoneticPr fontId="3"/>
  </si>
  <si>
    <t>2607-5275</t>
    <phoneticPr fontId="3"/>
  </si>
  <si>
    <t>017164</t>
    <phoneticPr fontId="3"/>
  </si>
  <si>
    <t>02818</t>
    <phoneticPr fontId="3"/>
  </si>
  <si>
    <t>2607-5272</t>
    <phoneticPr fontId="3"/>
  </si>
  <si>
    <t>WH1/1786</t>
    <phoneticPr fontId="3"/>
  </si>
  <si>
    <t>2607-5276</t>
    <phoneticPr fontId="3"/>
  </si>
  <si>
    <t>017165</t>
    <phoneticPr fontId="3"/>
  </si>
  <si>
    <t>2607-4905</t>
    <phoneticPr fontId="3"/>
  </si>
  <si>
    <t>02820</t>
    <phoneticPr fontId="3"/>
  </si>
  <si>
    <t>WH1/1785</t>
    <phoneticPr fontId="3"/>
  </si>
  <si>
    <t>2607-5277</t>
    <phoneticPr fontId="3"/>
  </si>
  <si>
    <t>017166</t>
    <phoneticPr fontId="3"/>
  </si>
  <si>
    <t>02819</t>
    <phoneticPr fontId="3"/>
  </si>
  <si>
    <t>WH8/00109</t>
    <phoneticPr fontId="3"/>
  </si>
  <si>
    <t>WH1/1788</t>
    <phoneticPr fontId="3"/>
  </si>
  <si>
    <t>017167</t>
    <phoneticPr fontId="3"/>
  </si>
  <si>
    <t>2607-4908</t>
    <phoneticPr fontId="3"/>
  </si>
  <si>
    <t>02821</t>
    <phoneticPr fontId="3"/>
  </si>
  <si>
    <t>WH3/0609</t>
    <phoneticPr fontId="3"/>
  </si>
  <si>
    <t>02825</t>
    <phoneticPr fontId="3"/>
  </si>
  <si>
    <t>WH3/0608</t>
    <phoneticPr fontId="3"/>
  </si>
  <si>
    <t>2607-5281</t>
    <phoneticPr fontId="3"/>
  </si>
  <si>
    <t>2607-5280</t>
    <phoneticPr fontId="3"/>
  </si>
  <si>
    <t>2607-5279</t>
    <phoneticPr fontId="3"/>
  </si>
  <si>
    <t>2607-5278</t>
    <phoneticPr fontId="3"/>
  </si>
  <si>
    <t>02824</t>
    <phoneticPr fontId="3"/>
  </si>
  <si>
    <t>WH3/0607</t>
    <phoneticPr fontId="3"/>
  </si>
  <si>
    <t>2607-5282</t>
    <phoneticPr fontId="3"/>
  </si>
  <si>
    <t>02823</t>
    <phoneticPr fontId="3"/>
  </si>
  <si>
    <t>WH3/0606</t>
    <phoneticPr fontId="3"/>
  </si>
  <si>
    <t>2607-5283</t>
    <phoneticPr fontId="3"/>
  </si>
  <si>
    <t>02822</t>
    <phoneticPr fontId="3"/>
  </si>
  <si>
    <t>WH2/1204</t>
    <phoneticPr fontId="3"/>
  </si>
  <si>
    <t>2607-5284</t>
    <phoneticPr fontId="3"/>
  </si>
  <si>
    <t>2607-4893</t>
    <phoneticPr fontId="3"/>
  </si>
  <si>
    <t>207/SCH.KM10</t>
    <phoneticPr fontId="3"/>
  </si>
  <si>
    <t>WH2/1205</t>
    <phoneticPr fontId="3"/>
  </si>
  <si>
    <t>2607-5285</t>
    <phoneticPr fontId="3"/>
  </si>
  <si>
    <t>WH1/1789</t>
    <phoneticPr fontId="3"/>
  </si>
  <si>
    <t>2607-5286</t>
    <phoneticPr fontId="3"/>
  </si>
  <si>
    <t>017168</t>
    <phoneticPr fontId="3"/>
  </si>
  <si>
    <t>2607-4915</t>
    <phoneticPr fontId="3"/>
  </si>
  <si>
    <t>02828</t>
    <phoneticPr fontId="3"/>
  </si>
  <si>
    <t>WH3/0611</t>
    <phoneticPr fontId="3"/>
  </si>
  <si>
    <t>2607-5287</t>
    <phoneticPr fontId="3"/>
  </si>
  <si>
    <t>02827</t>
    <phoneticPr fontId="3"/>
  </si>
  <si>
    <t>WH1/1790</t>
    <phoneticPr fontId="3"/>
  </si>
  <si>
    <t>2607-5288</t>
    <phoneticPr fontId="3"/>
  </si>
  <si>
    <t>017170</t>
    <phoneticPr fontId="3"/>
  </si>
  <si>
    <t>02829</t>
    <phoneticPr fontId="3"/>
  </si>
  <si>
    <t>WH3/0610</t>
    <phoneticPr fontId="3"/>
  </si>
  <si>
    <t>2607-5289</t>
    <phoneticPr fontId="3"/>
  </si>
  <si>
    <t>2607-4913</t>
    <phoneticPr fontId="3"/>
  </si>
  <si>
    <t>02826</t>
    <phoneticPr fontId="3"/>
  </si>
  <si>
    <t>WH1/1792</t>
    <phoneticPr fontId="3"/>
  </si>
  <si>
    <t>2607-5290</t>
    <phoneticPr fontId="3"/>
  </si>
  <si>
    <t>017181</t>
    <phoneticPr fontId="3"/>
  </si>
  <si>
    <t>26074920</t>
    <phoneticPr fontId="3"/>
  </si>
  <si>
    <t>02833</t>
    <phoneticPr fontId="3"/>
  </si>
  <si>
    <t>WH1/1791</t>
    <phoneticPr fontId="3"/>
  </si>
  <si>
    <t>2607-5291</t>
    <phoneticPr fontId="3"/>
  </si>
  <si>
    <t>017182</t>
    <phoneticPr fontId="3"/>
  </si>
  <si>
    <t>02831</t>
    <phoneticPr fontId="3"/>
  </si>
  <si>
    <t>2607-5292</t>
    <phoneticPr fontId="3"/>
  </si>
  <si>
    <t>0017184</t>
    <phoneticPr fontId="3"/>
  </si>
  <si>
    <t>2607-4917</t>
    <phoneticPr fontId="3"/>
  </si>
  <si>
    <t>WH6/0405</t>
    <phoneticPr fontId="3"/>
  </si>
  <si>
    <t>2607-5293</t>
    <phoneticPr fontId="3"/>
  </si>
  <si>
    <t>24/07/2026</t>
    <phoneticPr fontId="3"/>
  </si>
  <si>
    <t>02840</t>
    <phoneticPr fontId="3"/>
  </si>
  <si>
    <t>WH6/0404</t>
    <phoneticPr fontId="3"/>
  </si>
  <si>
    <t>2607-5294</t>
    <phoneticPr fontId="3"/>
  </si>
  <si>
    <t>02839</t>
    <phoneticPr fontId="3"/>
  </si>
  <si>
    <t>WH6/0403</t>
    <phoneticPr fontId="3"/>
  </si>
  <si>
    <t>2607-5295</t>
    <phoneticPr fontId="3"/>
  </si>
  <si>
    <t>02838</t>
    <phoneticPr fontId="3"/>
  </si>
  <si>
    <t>15/07/20226</t>
    <phoneticPr fontId="3"/>
  </si>
  <si>
    <t>WH3/0612</t>
    <phoneticPr fontId="3"/>
  </si>
  <si>
    <t>2607-5296</t>
    <phoneticPr fontId="3"/>
  </si>
  <si>
    <t>02841</t>
    <phoneticPr fontId="3"/>
  </si>
  <si>
    <t>WH1/1794</t>
    <phoneticPr fontId="3"/>
  </si>
  <si>
    <t>2607-5297</t>
    <phoneticPr fontId="3"/>
  </si>
  <si>
    <t>017185</t>
    <phoneticPr fontId="3"/>
  </si>
  <si>
    <t>02843</t>
    <phoneticPr fontId="3"/>
  </si>
  <si>
    <t>WH1/1793</t>
    <phoneticPr fontId="3"/>
  </si>
  <si>
    <t>2607-5298</t>
    <phoneticPr fontId="3"/>
  </si>
  <si>
    <t>017186</t>
    <phoneticPr fontId="3"/>
  </si>
  <si>
    <t>02842</t>
    <phoneticPr fontId="3"/>
  </si>
  <si>
    <t>WH7/1621</t>
    <phoneticPr fontId="3"/>
  </si>
  <si>
    <t>2607-5299</t>
    <phoneticPr fontId="3"/>
  </si>
  <si>
    <t>0017187</t>
    <phoneticPr fontId="3"/>
  </si>
  <si>
    <t>2607-4937</t>
    <phoneticPr fontId="3"/>
  </si>
  <si>
    <t xml:space="preserve"> </t>
    <phoneticPr fontId="3"/>
  </si>
  <si>
    <t>WH3/0613</t>
    <phoneticPr fontId="3"/>
  </si>
  <si>
    <t>2607-5300</t>
    <phoneticPr fontId="3"/>
  </si>
  <si>
    <t>2607-4938</t>
    <phoneticPr fontId="3"/>
  </si>
  <si>
    <t>02846</t>
    <phoneticPr fontId="3"/>
  </si>
  <si>
    <t>WH1/1795</t>
    <phoneticPr fontId="3"/>
  </si>
  <si>
    <t>2607-5301</t>
    <phoneticPr fontId="3"/>
  </si>
  <si>
    <t>017188</t>
    <phoneticPr fontId="3"/>
  </si>
  <si>
    <t>2607-4939</t>
    <phoneticPr fontId="3"/>
  </si>
  <si>
    <t>WH7/1618</t>
    <phoneticPr fontId="3"/>
  </si>
  <si>
    <t>2607-5302</t>
    <phoneticPr fontId="3"/>
  </si>
  <si>
    <t>0017189</t>
    <phoneticPr fontId="3"/>
  </si>
  <si>
    <t>26074929</t>
    <phoneticPr fontId="3"/>
  </si>
  <si>
    <t>WH7/1617</t>
    <phoneticPr fontId="3"/>
  </si>
  <si>
    <t>2607-5303</t>
    <phoneticPr fontId="3"/>
  </si>
  <si>
    <t>0017190</t>
    <phoneticPr fontId="3"/>
  </si>
  <si>
    <t>WH7/1620</t>
    <phoneticPr fontId="3"/>
  </si>
  <si>
    <t>2607-5304</t>
    <phoneticPr fontId="3"/>
  </si>
  <si>
    <t>0017191</t>
    <phoneticPr fontId="3"/>
  </si>
  <si>
    <t>2607-4934</t>
    <phoneticPr fontId="3"/>
  </si>
  <si>
    <t>WH7/1619</t>
    <phoneticPr fontId="3"/>
  </si>
  <si>
    <t>2607-5305</t>
    <phoneticPr fontId="3"/>
  </si>
  <si>
    <t>0017192</t>
    <phoneticPr fontId="3"/>
  </si>
  <si>
    <t>WH6/0406</t>
    <phoneticPr fontId="3"/>
  </si>
  <si>
    <t>2607-5306</t>
    <phoneticPr fontId="3"/>
  </si>
  <si>
    <t>2607-4941</t>
    <phoneticPr fontId="3"/>
  </si>
  <si>
    <t>02847</t>
    <phoneticPr fontId="3"/>
  </si>
  <si>
    <t>WH7/1622</t>
    <phoneticPr fontId="3"/>
  </si>
  <si>
    <t>2607-5307</t>
    <phoneticPr fontId="3"/>
  </si>
  <si>
    <t>0017197</t>
    <phoneticPr fontId="3"/>
  </si>
  <si>
    <t>WH1/1797</t>
    <phoneticPr fontId="3"/>
  </si>
  <si>
    <t>2607-5308</t>
    <phoneticPr fontId="3"/>
  </si>
  <si>
    <t>017198</t>
    <phoneticPr fontId="3"/>
  </si>
  <si>
    <t>02848</t>
    <phoneticPr fontId="3"/>
  </si>
  <si>
    <t>WH1/1798</t>
    <phoneticPr fontId="3"/>
  </si>
  <si>
    <t>2607-5309</t>
    <phoneticPr fontId="3"/>
  </si>
  <si>
    <t>017203</t>
    <phoneticPr fontId="3"/>
  </si>
  <si>
    <t>25/07/2026</t>
    <phoneticPr fontId="3"/>
  </si>
  <si>
    <t>WH8/00110</t>
    <phoneticPr fontId="3"/>
  </si>
  <si>
    <t>2607-5310</t>
    <phoneticPr fontId="3"/>
  </si>
  <si>
    <t>WH8/00115</t>
    <phoneticPr fontId="3"/>
  </si>
  <si>
    <t>2607-5312</t>
    <phoneticPr fontId="3"/>
  </si>
  <si>
    <t>02836</t>
    <phoneticPr fontId="3"/>
  </si>
  <si>
    <t>WH8/00113</t>
    <phoneticPr fontId="3"/>
  </si>
  <si>
    <t>2607-5313</t>
    <phoneticPr fontId="3"/>
  </si>
  <si>
    <t>2607-4935</t>
    <phoneticPr fontId="3"/>
  </si>
  <si>
    <t>02844</t>
    <phoneticPr fontId="3"/>
  </si>
  <si>
    <t>WH8/00114</t>
    <phoneticPr fontId="3"/>
  </si>
  <si>
    <t>2607-5314</t>
    <phoneticPr fontId="3"/>
  </si>
  <si>
    <t>2607-4936</t>
    <phoneticPr fontId="3"/>
  </si>
  <si>
    <t>02845</t>
    <phoneticPr fontId="3"/>
  </si>
  <si>
    <t>WH2/1209</t>
    <phoneticPr fontId="3"/>
  </si>
  <si>
    <t>2607-5315</t>
    <phoneticPr fontId="3"/>
  </si>
  <si>
    <t>208/SCH.KM10</t>
    <phoneticPr fontId="3"/>
  </si>
  <si>
    <t>WH2/1210</t>
    <phoneticPr fontId="3"/>
  </si>
  <si>
    <t>2607-5316</t>
    <phoneticPr fontId="3"/>
  </si>
  <si>
    <t>WH8/00117</t>
    <phoneticPr fontId="3"/>
  </si>
  <si>
    <t>2607-5317</t>
    <phoneticPr fontId="3"/>
  </si>
  <si>
    <t>02832</t>
    <phoneticPr fontId="3"/>
  </si>
  <si>
    <t>WH2/1207</t>
    <phoneticPr fontId="3"/>
  </si>
  <si>
    <t>2607-5318</t>
    <phoneticPr fontId="3"/>
  </si>
  <si>
    <t>02834</t>
    <phoneticPr fontId="3"/>
  </si>
  <si>
    <t>22/047/2026</t>
    <phoneticPr fontId="3"/>
  </si>
  <si>
    <t>WH2/1208</t>
    <phoneticPr fontId="3"/>
  </si>
  <si>
    <t>2607-5319</t>
    <phoneticPr fontId="3"/>
  </si>
  <si>
    <t>02835</t>
    <phoneticPr fontId="3"/>
  </si>
  <si>
    <t>WH7/1624</t>
    <phoneticPr fontId="3"/>
  </si>
  <si>
    <t>2607-5320</t>
    <phoneticPr fontId="3"/>
  </si>
  <si>
    <t>0017209</t>
    <phoneticPr fontId="3"/>
  </si>
  <si>
    <t>WH7/1623</t>
    <phoneticPr fontId="3"/>
  </si>
  <si>
    <t>2607-5321</t>
    <phoneticPr fontId="3"/>
  </si>
  <si>
    <t>0017212</t>
    <phoneticPr fontId="3"/>
  </si>
  <si>
    <t>WH7/1630</t>
    <phoneticPr fontId="3"/>
  </si>
  <si>
    <t>2607-5322</t>
    <phoneticPr fontId="3"/>
  </si>
  <si>
    <t>0017215</t>
    <phoneticPr fontId="3"/>
  </si>
  <si>
    <t>2607-4953</t>
    <phoneticPr fontId="3"/>
  </si>
  <si>
    <t>WH7/1629</t>
    <phoneticPr fontId="3"/>
  </si>
  <si>
    <t>2607-5323</t>
    <phoneticPr fontId="3"/>
  </si>
  <si>
    <t>0017216</t>
    <phoneticPr fontId="3"/>
  </si>
  <si>
    <t>WH2/1211</t>
    <phoneticPr fontId="3"/>
  </si>
  <si>
    <t>2607-5324</t>
    <phoneticPr fontId="3"/>
  </si>
  <si>
    <t>2607-4957</t>
    <phoneticPr fontId="3"/>
  </si>
  <si>
    <t>02849</t>
    <phoneticPr fontId="3"/>
  </si>
  <si>
    <t>WH1/1799</t>
    <phoneticPr fontId="3"/>
  </si>
  <si>
    <t>2607-5325</t>
    <phoneticPr fontId="3"/>
  </si>
  <si>
    <t>2607-4958</t>
    <phoneticPr fontId="3"/>
  </si>
  <si>
    <t>27/07/2026</t>
    <phoneticPr fontId="3"/>
  </si>
  <si>
    <t>02850</t>
    <phoneticPr fontId="3"/>
  </si>
  <si>
    <t>WH7/1628</t>
    <phoneticPr fontId="3"/>
  </si>
  <si>
    <t>2607-5326</t>
    <phoneticPr fontId="3"/>
  </si>
  <si>
    <t>0017218</t>
    <phoneticPr fontId="3"/>
  </si>
  <si>
    <t>WH7/1627</t>
    <phoneticPr fontId="3"/>
  </si>
  <si>
    <t>2607-5327</t>
    <phoneticPr fontId="3"/>
  </si>
  <si>
    <t>0017219</t>
    <phoneticPr fontId="3"/>
  </si>
  <si>
    <t>WH7/1626</t>
    <phoneticPr fontId="3"/>
  </si>
  <si>
    <t>2607-5328</t>
    <phoneticPr fontId="3"/>
  </si>
  <si>
    <t>0017220</t>
    <phoneticPr fontId="3"/>
  </si>
  <si>
    <t>WH7/1625</t>
    <phoneticPr fontId="3"/>
  </si>
  <si>
    <t>2607-5329</t>
    <phoneticPr fontId="3"/>
  </si>
  <si>
    <t>0017221</t>
    <phoneticPr fontId="3"/>
  </si>
  <si>
    <t>WH6/0407</t>
    <phoneticPr fontId="3"/>
  </si>
  <si>
    <t>2607-5330</t>
    <phoneticPr fontId="3"/>
  </si>
  <si>
    <t>2607-4962</t>
    <phoneticPr fontId="3"/>
  </si>
  <si>
    <t>0147/ດຈລ</t>
    <phoneticPr fontId="3"/>
  </si>
  <si>
    <t>WH3/0616</t>
    <phoneticPr fontId="3"/>
  </si>
  <si>
    <t>2607-5331</t>
    <phoneticPr fontId="3"/>
  </si>
  <si>
    <t>2607-4961</t>
    <phoneticPr fontId="3"/>
  </si>
  <si>
    <t>02852</t>
    <phoneticPr fontId="3"/>
  </si>
  <si>
    <t>WH3/0617</t>
    <phoneticPr fontId="3"/>
  </si>
  <si>
    <t>2607-5332</t>
    <phoneticPr fontId="3"/>
  </si>
  <si>
    <t>WH3/0615</t>
    <phoneticPr fontId="3"/>
  </si>
  <si>
    <t>2607-5333</t>
    <phoneticPr fontId="3"/>
  </si>
  <si>
    <t>2607-4960</t>
    <phoneticPr fontId="3"/>
  </si>
  <si>
    <t>02853</t>
    <phoneticPr fontId="3"/>
  </si>
  <si>
    <t>WH3/0618</t>
    <phoneticPr fontId="3"/>
  </si>
  <si>
    <t>2607-5334</t>
    <phoneticPr fontId="3"/>
  </si>
  <si>
    <t>WH3/0614</t>
    <phoneticPr fontId="3"/>
  </si>
  <si>
    <t>2607-5335</t>
    <phoneticPr fontId="3"/>
  </si>
  <si>
    <t>02854</t>
    <phoneticPr fontId="3"/>
  </si>
  <si>
    <t>WH7/1632</t>
    <phoneticPr fontId="3"/>
  </si>
  <si>
    <t>2607-5336</t>
    <phoneticPr fontId="3"/>
  </si>
  <si>
    <t>0017224</t>
    <phoneticPr fontId="3"/>
  </si>
  <si>
    <t>26/07/2026</t>
    <phoneticPr fontId="3"/>
  </si>
  <si>
    <t>WH7/1631</t>
    <phoneticPr fontId="3"/>
  </si>
  <si>
    <t>2607-5337</t>
    <phoneticPr fontId="3"/>
  </si>
  <si>
    <t>0017227</t>
    <phoneticPr fontId="3"/>
  </si>
  <si>
    <t>WH7/1633</t>
    <phoneticPr fontId="3"/>
  </si>
  <si>
    <t>2607-5338</t>
    <phoneticPr fontId="3"/>
  </si>
  <si>
    <t>0017229</t>
    <phoneticPr fontId="3"/>
  </si>
  <si>
    <t>2607-5339</t>
    <phoneticPr fontId="3"/>
  </si>
  <si>
    <t>2607-4963</t>
    <phoneticPr fontId="3"/>
  </si>
  <si>
    <t>WH6/0408</t>
    <phoneticPr fontId="3"/>
  </si>
  <si>
    <t>WH6/0402</t>
    <phoneticPr fontId="3"/>
  </si>
  <si>
    <t>2607-5340</t>
    <phoneticPr fontId="3"/>
  </si>
  <si>
    <t>02837</t>
    <phoneticPr fontId="3"/>
  </si>
  <si>
    <t>016681</t>
    <phoneticPr fontId="3"/>
  </si>
  <si>
    <t>016682</t>
    <phoneticPr fontId="3"/>
  </si>
  <si>
    <t>016718</t>
    <phoneticPr fontId="3"/>
  </si>
  <si>
    <t>016717</t>
    <phoneticPr fontId="3"/>
  </si>
  <si>
    <t>016722</t>
    <phoneticPr fontId="3"/>
  </si>
  <si>
    <t>016720</t>
    <phoneticPr fontId="3"/>
  </si>
  <si>
    <t>016721</t>
    <phoneticPr fontId="3"/>
  </si>
  <si>
    <t>016751</t>
    <phoneticPr fontId="3"/>
  </si>
  <si>
    <t>016749</t>
    <phoneticPr fontId="3"/>
  </si>
  <si>
    <t>016779</t>
    <phoneticPr fontId="3"/>
  </si>
  <si>
    <t>016790</t>
    <phoneticPr fontId="3"/>
  </si>
  <si>
    <t>016814</t>
    <phoneticPr fontId="3"/>
  </si>
  <si>
    <t>016815</t>
    <phoneticPr fontId="3"/>
  </si>
  <si>
    <t>016852</t>
    <phoneticPr fontId="3"/>
  </si>
  <si>
    <t>016851</t>
    <phoneticPr fontId="3"/>
  </si>
  <si>
    <t>016856</t>
    <phoneticPr fontId="3"/>
  </si>
  <si>
    <t>016850</t>
    <phoneticPr fontId="3"/>
  </si>
  <si>
    <t>016868</t>
    <phoneticPr fontId="3"/>
  </si>
  <si>
    <t>016873</t>
    <phoneticPr fontId="3"/>
  </si>
  <si>
    <t>016878</t>
    <phoneticPr fontId="3"/>
  </si>
  <si>
    <t>016889</t>
    <phoneticPr fontId="3"/>
  </si>
  <si>
    <t>016901</t>
    <phoneticPr fontId="3"/>
  </si>
  <si>
    <t>016908</t>
    <phoneticPr fontId="3"/>
  </si>
  <si>
    <t>016907</t>
    <phoneticPr fontId="3"/>
  </si>
  <si>
    <t>016909</t>
    <phoneticPr fontId="3"/>
  </si>
  <si>
    <t>016932</t>
    <phoneticPr fontId="3"/>
  </si>
  <si>
    <t>016958</t>
    <phoneticPr fontId="3"/>
  </si>
  <si>
    <t>016967</t>
    <phoneticPr fontId="3"/>
  </si>
  <si>
    <t>016971</t>
    <phoneticPr fontId="3"/>
  </si>
  <si>
    <t>016972</t>
    <phoneticPr fontId="3"/>
  </si>
  <si>
    <t>016992</t>
    <phoneticPr fontId="3"/>
  </si>
  <si>
    <t>017012</t>
    <phoneticPr fontId="3"/>
  </si>
  <si>
    <t>017060</t>
    <phoneticPr fontId="3"/>
  </si>
  <si>
    <t>017058</t>
    <phoneticPr fontId="3"/>
  </si>
  <si>
    <t>017078</t>
    <phoneticPr fontId="3"/>
  </si>
  <si>
    <t>017094</t>
    <phoneticPr fontId="3"/>
  </si>
  <si>
    <t>017119</t>
    <phoneticPr fontId="3"/>
  </si>
  <si>
    <t>017121</t>
    <phoneticPr fontId="3"/>
  </si>
  <si>
    <t>017120</t>
    <phoneticPr fontId="3"/>
  </si>
  <si>
    <t>017129</t>
    <phoneticPr fontId="3"/>
  </si>
  <si>
    <t>017139</t>
    <phoneticPr fontId="3"/>
  </si>
  <si>
    <t>017193</t>
    <phoneticPr fontId="3"/>
  </si>
  <si>
    <t>017194</t>
    <phoneticPr fontId="3"/>
  </si>
  <si>
    <t>017195</t>
    <phoneticPr fontId="3"/>
  </si>
  <si>
    <t>017196</t>
    <phoneticPr fontId="3"/>
  </si>
  <si>
    <t>017222</t>
    <phoneticPr fontId="3"/>
  </si>
  <si>
    <t>017233</t>
    <phoneticPr fontId="3"/>
  </si>
  <si>
    <t>WH1/1800</t>
    <phoneticPr fontId="3"/>
  </si>
  <si>
    <t>2607-5341</t>
    <phoneticPr fontId="3"/>
  </si>
  <si>
    <t>017235</t>
    <phoneticPr fontId="3"/>
  </si>
  <si>
    <t>2607-4964</t>
    <phoneticPr fontId="3"/>
  </si>
  <si>
    <t>02857</t>
    <phoneticPr fontId="3"/>
  </si>
  <si>
    <t>WH3/0619</t>
    <phoneticPr fontId="3"/>
  </si>
  <si>
    <t>2607-5342</t>
    <phoneticPr fontId="3"/>
  </si>
  <si>
    <t>2607-4966</t>
    <phoneticPr fontId="3"/>
  </si>
  <si>
    <t>02859</t>
    <phoneticPr fontId="3"/>
  </si>
  <si>
    <t>WH3/0620</t>
    <phoneticPr fontId="3"/>
  </si>
  <si>
    <t>2607-5343</t>
    <phoneticPr fontId="3"/>
  </si>
  <si>
    <t>2607-4967</t>
    <phoneticPr fontId="3"/>
  </si>
  <si>
    <t>02860</t>
    <phoneticPr fontId="3"/>
  </si>
  <si>
    <t>WH1/1801</t>
    <phoneticPr fontId="3"/>
  </si>
  <si>
    <t>2607-5344</t>
    <phoneticPr fontId="3"/>
  </si>
  <si>
    <t>017236</t>
    <phoneticPr fontId="3"/>
  </si>
  <si>
    <t>2607-4965</t>
    <phoneticPr fontId="3"/>
  </si>
  <si>
    <t>02858</t>
    <phoneticPr fontId="3"/>
  </si>
  <si>
    <t>ບໍລິສັດ ເທົ່າຮຸ່ງເຮືອງ ຂົນສົ່ງຫີນຊາຍ ຈໍາກັດຜູ້ດຽວ</t>
  </si>
  <si>
    <t>[144697] M-DEL Legend CH-4 20W-50 Heavy Duty DRUM 208L</t>
  </si>
  <si>
    <t>615540481-0-00</t>
    <phoneticPr fontId="3"/>
  </si>
  <si>
    <t>WH1/1802</t>
    <phoneticPr fontId="3"/>
  </si>
  <si>
    <t>2607-5345</t>
    <phoneticPr fontId="3"/>
  </si>
  <si>
    <t>017237</t>
    <phoneticPr fontId="3"/>
  </si>
  <si>
    <t>ບໍລິສັດ ໄທດິວ (ລາວ) ຈໍາກັດຜູ້ດຽວ</t>
  </si>
  <si>
    <t>WH1/1804</t>
    <phoneticPr fontId="3"/>
  </si>
  <si>
    <t>2607-5346</t>
    <phoneticPr fontId="3"/>
  </si>
  <si>
    <t>017240</t>
    <phoneticPr fontId="3"/>
  </si>
  <si>
    <t>WH1/1803</t>
    <phoneticPr fontId="3"/>
  </si>
  <si>
    <t>2607-5347</t>
    <phoneticPr fontId="3"/>
  </si>
  <si>
    <t>017241</t>
    <phoneticPr fontId="3"/>
  </si>
  <si>
    <t>WH7/1634</t>
    <phoneticPr fontId="3"/>
  </si>
  <si>
    <t>2607-5348</t>
    <phoneticPr fontId="3"/>
  </si>
  <si>
    <t>0017242</t>
    <phoneticPr fontId="3"/>
  </si>
  <si>
    <t>2607-4968</t>
    <phoneticPr fontId="3"/>
  </si>
  <si>
    <t>WH7/1635</t>
    <phoneticPr fontId="3"/>
  </si>
  <si>
    <t>2607-5349</t>
    <phoneticPr fontId="3"/>
  </si>
  <si>
    <t>0017243</t>
    <phoneticPr fontId="3"/>
  </si>
  <si>
    <t>WH7/1636</t>
    <phoneticPr fontId="3"/>
  </si>
  <si>
    <t>2607-5350</t>
    <phoneticPr fontId="3"/>
  </si>
  <si>
    <t>0017244</t>
    <phoneticPr fontId="3"/>
  </si>
  <si>
    <t>WH7/1637</t>
    <phoneticPr fontId="3"/>
  </si>
  <si>
    <t>2607-5351</t>
    <phoneticPr fontId="3"/>
  </si>
  <si>
    <t>0017245</t>
    <phoneticPr fontId="3"/>
  </si>
  <si>
    <t>WH1/1805</t>
    <phoneticPr fontId="3"/>
  </si>
  <si>
    <t>2607-5352</t>
    <phoneticPr fontId="3"/>
  </si>
  <si>
    <t>017246</t>
    <phoneticPr fontId="3"/>
  </si>
  <si>
    <t>29/07/2026</t>
    <phoneticPr fontId="3"/>
  </si>
  <si>
    <t>02863</t>
    <phoneticPr fontId="3"/>
  </si>
  <si>
    <t>WH3/0621</t>
    <phoneticPr fontId="3"/>
  </si>
  <si>
    <t>2607-5353</t>
    <phoneticPr fontId="3"/>
  </si>
  <si>
    <t>02864</t>
    <phoneticPr fontId="3"/>
  </si>
  <si>
    <t>WH8/00118</t>
    <phoneticPr fontId="3"/>
  </si>
  <si>
    <t>2607-5354</t>
    <phoneticPr fontId="3"/>
  </si>
  <si>
    <t>02866</t>
    <phoneticPr fontId="3"/>
  </si>
  <si>
    <t>WH8/00119</t>
    <phoneticPr fontId="3"/>
  </si>
  <si>
    <t>2607-5355</t>
    <phoneticPr fontId="3"/>
  </si>
  <si>
    <t>02865</t>
    <phoneticPr fontId="3"/>
  </si>
  <si>
    <t>WH7/1639</t>
    <phoneticPr fontId="3"/>
  </si>
  <si>
    <t>2607-5356</t>
    <phoneticPr fontId="3"/>
  </si>
  <si>
    <t>0017247</t>
    <phoneticPr fontId="3"/>
  </si>
  <si>
    <t>WH7/1640</t>
    <phoneticPr fontId="3"/>
  </si>
  <si>
    <t>2607-5357</t>
    <phoneticPr fontId="3"/>
  </si>
  <si>
    <t>0017248</t>
    <phoneticPr fontId="3"/>
  </si>
  <si>
    <t>WH7/1638</t>
    <phoneticPr fontId="3"/>
  </si>
  <si>
    <t>2607-5358</t>
    <phoneticPr fontId="3"/>
  </si>
  <si>
    <t>0017249</t>
    <phoneticPr fontId="3"/>
  </si>
  <si>
    <t>28/07/2026</t>
    <phoneticPr fontId="3"/>
  </si>
  <si>
    <t>WH7/1641</t>
    <phoneticPr fontId="3"/>
  </si>
  <si>
    <t>2607-5359</t>
    <phoneticPr fontId="3"/>
  </si>
  <si>
    <t>0017251</t>
    <phoneticPr fontId="3"/>
  </si>
  <si>
    <t>WH7/1642</t>
    <phoneticPr fontId="3"/>
  </si>
  <si>
    <t>2607-5360</t>
    <phoneticPr fontId="3"/>
  </si>
  <si>
    <t>0017253</t>
    <phoneticPr fontId="3"/>
  </si>
  <si>
    <t>WH3/0623</t>
    <phoneticPr fontId="3"/>
  </si>
  <si>
    <t>2607-5361</t>
    <phoneticPr fontId="3"/>
  </si>
  <si>
    <t>02869</t>
    <phoneticPr fontId="3"/>
  </si>
  <si>
    <t>WH3/0622</t>
    <phoneticPr fontId="3"/>
  </si>
  <si>
    <t>WH1/1806</t>
    <phoneticPr fontId="3"/>
  </si>
  <si>
    <t>2607-5362</t>
    <phoneticPr fontId="3"/>
  </si>
  <si>
    <t>017254</t>
    <phoneticPr fontId="3"/>
  </si>
  <si>
    <t>02867</t>
    <phoneticPr fontId="3"/>
  </si>
  <si>
    <t>WH1/1807</t>
    <phoneticPr fontId="3"/>
  </si>
  <si>
    <t>2607-5363</t>
    <phoneticPr fontId="3"/>
  </si>
  <si>
    <t>017255</t>
    <phoneticPr fontId="3"/>
  </si>
  <si>
    <t>02868</t>
    <phoneticPr fontId="3"/>
  </si>
  <si>
    <t>WH2/1212</t>
    <phoneticPr fontId="3"/>
  </si>
  <si>
    <t>2607-5364</t>
    <phoneticPr fontId="3"/>
  </si>
  <si>
    <t>02870</t>
    <phoneticPr fontId="3"/>
  </si>
  <si>
    <t>WH8/00120</t>
    <phoneticPr fontId="3"/>
  </si>
  <si>
    <t>2607-5365</t>
    <phoneticPr fontId="3"/>
  </si>
  <si>
    <t>WH6/0411</t>
    <phoneticPr fontId="3"/>
  </si>
  <si>
    <t>2607-5366</t>
    <phoneticPr fontId="3"/>
  </si>
  <si>
    <t>2607-4991</t>
    <phoneticPr fontId="3"/>
  </si>
  <si>
    <t>02873</t>
    <phoneticPr fontId="3"/>
  </si>
  <si>
    <t>WH6/0412</t>
    <phoneticPr fontId="3"/>
  </si>
  <si>
    <t>WH7/1644</t>
    <phoneticPr fontId="3"/>
  </si>
  <si>
    <t>2607-5367</t>
    <phoneticPr fontId="3"/>
  </si>
  <si>
    <t>0017258</t>
    <phoneticPr fontId="3"/>
  </si>
  <si>
    <t>2607-4992</t>
    <phoneticPr fontId="3"/>
  </si>
  <si>
    <t>WH8/00121</t>
    <phoneticPr fontId="3"/>
  </si>
  <si>
    <t>2607-5368</t>
    <phoneticPr fontId="3"/>
  </si>
  <si>
    <t>2607-4993</t>
    <phoneticPr fontId="3"/>
  </si>
  <si>
    <t>02875</t>
    <phoneticPr fontId="3"/>
  </si>
  <si>
    <t>WH1/1808</t>
    <phoneticPr fontId="3"/>
  </si>
  <si>
    <t>2607-5369</t>
    <phoneticPr fontId="3"/>
  </si>
  <si>
    <t>017260</t>
    <phoneticPr fontId="3"/>
  </si>
  <si>
    <t>2607-4990</t>
    <phoneticPr fontId="3"/>
  </si>
  <si>
    <t>02872</t>
    <phoneticPr fontId="3"/>
  </si>
  <si>
    <t>WH7/1645</t>
    <phoneticPr fontId="3"/>
  </si>
  <si>
    <t>2607-5370</t>
    <phoneticPr fontId="3"/>
  </si>
  <si>
    <t>0017263</t>
    <phoneticPr fontId="3"/>
  </si>
  <si>
    <t>016752</t>
    <phoneticPr fontId="3"/>
  </si>
  <si>
    <t>016796</t>
    <phoneticPr fontId="3"/>
  </si>
  <si>
    <t>016797</t>
    <phoneticPr fontId="3"/>
  </si>
  <si>
    <t>016798</t>
    <phoneticPr fontId="3"/>
  </si>
  <si>
    <t>016817</t>
    <phoneticPr fontId="3"/>
  </si>
  <si>
    <t>016891</t>
    <phoneticPr fontId="3"/>
  </si>
  <si>
    <t>016874</t>
    <phoneticPr fontId="3"/>
  </si>
  <si>
    <t>016836</t>
    <phoneticPr fontId="3"/>
  </si>
  <si>
    <t>016818</t>
    <phoneticPr fontId="3"/>
  </si>
  <si>
    <t>016931</t>
    <phoneticPr fontId="3"/>
  </si>
  <si>
    <t>016929</t>
    <phoneticPr fontId="3"/>
  </si>
  <si>
    <t>017007</t>
    <phoneticPr fontId="3"/>
  </si>
  <si>
    <t>017052</t>
    <phoneticPr fontId="3"/>
  </si>
  <si>
    <t>017082</t>
    <phoneticPr fontId="3"/>
  </si>
  <si>
    <t>017095</t>
    <phoneticPr fontId="3"/>
  </si>
  <si>
    <t>017122</t>
    <phoneticPr fontId="3"/>
  </si>
  <si>
    <t>017145</t>
    <phoneticPr fontId="3"/>
  </si>
  <si>
    <t>017146</t>
    <phoneticPr fontId="3"/>
  </si>
  <si>
    <t>017160</t>
    <phoneticPr fontId="3"/>
  </si>
  <si>
    <t>017183</t>
    <phoneticPr fontId="3"/>
  </si>
  <si>
    <t>017204</t>
    <phoneticPr fontId="3"/>
  </si>
  <si>
    <t>017206</t>
    <phoneticPr fontId="3"/>
  </si>
  <si>
    <t>017207</t>
    <phoneticPr fontId="3"/>
  </si>
  <si>
    <t>017208</t>
    <phoneticPr fontId="3"/>
  </si>
  <si>
    <t>017250</t>
    <phoneticPr fontId="3"/>
  </si>
  <si>
    <t>017252</t>
    <phoneticPr fontId="3"/>
  </si>
  <si>
    <t>017257</t>
    <phoneticPr fontId="3"/>
  </si>
  <si>
    <t>017259</t>
    <phoneticPr fontId="3"/>
  </si>
  <si>
    <t>016672</t>
    <phoneticPr fontId="3"/>
  </si>
  <si>
    <t>016671</t>
    <phoneticPr fontId="3"/>
  </si>
  <si>
    <t>016673</t>
    <phoneticPr fontId="3"/>
  </si>
  <si>
    <t>016785</t>
    <phoneticPr fontId="3"/>
  </si>
  <si>
    <t>016905</t>
    <phoneticPr fontId="3"/>
  </si>
  <si>
    <t>017264</t>
    <phoneticPr fontId="3"/>
  </si>
  <si>
    <t>016791</t>
    <phoneticPr fontId="3"/>
  </si>
  <si>
    <t>016822</t>
    <phoneticPr fontId="3"/>
  </si>
  <si>
    <t>016869</t>
    <phoneticPr fontId="3"/>
  </si>
  <si>
    <t>016875</t>
    <phoneticPr fontId="3"/>
  </si>
  <si>
    <t>016933</t>
    <phoneticPr fontId="3"/>
  </si>
  <si>
    <t>016993</t>
    <phoneticPr fontId="3"/>
  </si>
  <si>
    <t>017013</t>
    <phoneticPr fontId="3"/>
  </si>
  <si>
    <t>017059</t>
    <phoneticPr fontId="3"/>
  </si>
  <si>
    <t>017234</t>
    <phoneticPr fontId="3"/>
  </si>
  <si>
    <t>017261</t>
    <phoneticPr fontId="3"/>
  </si>
  <si>
    <t>016708</t>
    <phoneticPr fontId="3"/>
  </si>
  <si>
    <t>016736</t>
    <phoneticPr fontId="3"/>
  </si>
  <si>
    <t>016750</t>
    <phoneticPr fontId="3"/>
  </si>
  <si>
    <t>016767</t>
    <phoneticPr fontId="3"/>
  </si>
  <si>
    <t>016793</t>
    <phoneticPr fontId="3"/>
  </si>
  <si>
    <t>016794</t>
    <phoneticPr fontId="3"/>
  </si>
  <si>
    <t>016812</t>
    <phoneticPr fontId="3"/>
  </si>
  <si>
    <t>016841</t>
    <phoneticPr fontId="3"/>
  </si>
  <si>
    <t>016842</t>
    <phoneticPr fontId="3"/>
  </si>
  <si>
    <t>016848</t>
    <phoneticPr fontId="3"/>
  </si>
  <si>
    <t>016857</t>
    <phoneticPr fontId="3"/>
  </si>
  <si>
    <t>016858</t>
    <phoneticPr fontId="3"/>
  </si>
  <si>
    <t>016859</t>
    <phoneticPr fontId="3"/>
  </si>
  <si>
    <t>016860</t>
    <phoneticPr fontId="3"/>
  </si>
  <si>
    <t>016877</t>
    <phoneticPr fontId="3"/>
  </si>
  <si>
    <t>016879</t>
    <phoneticPr fontId="3"/>
  </si>
  <si>
    <t>016949</t>
    <phoneticPr fontId="3"/>
  </si>
  <si>
    <t>016950</t>
    <phoneticPr fontId="3"/>
  </si>
  <si>
    <t>016951</t>
    <phoneticPr fontId="3"/>
  </si>
  <si>
    <t>016952</t>
    <phoneticPr fontId="3"/>
  </si>
  <si>
    <t>016953</t>
    <phoneticPr fontId="3"/>
  </si>
  <si>
    <t>016954</t>
    <phoneticPr fontId="3"/>
  </si>
  <si>
    <t>016956</t>
    <phoneticPr fontId="3"/>
  </si>
  <si>
    <t>016979</t>
    <phoneticPr fontId="3"/>
  </si>
  <si>
    <t>016981</t>
    <phoneticPr fontId="3"/>
  </si>
  <si>
    <t>016983</t>
    <phoneticPr fontId="3"/>
  </si>
  <si>
    <t>016984</t>
    <phoneticPr fontId="3"/>
  </si>
  <si>
    <t>016985</t>
    <phoneticPr fontId="3"/>
  </si>
  <si>
    <t>016986</t>
    <phoneticPr fontId="3"/>
  </si>
  <si>
    <t>016987</t>
    <phoneticPr fontId="3"/>
  </si>
  <si>
    <t>017014</t>
    <phoneticPr fontId="3"/>
  </si>
  <si>
    <t>017015</t>
    <phoneticPr fontId="3"/>
  </si>
  <si>
    <t>017016</t>
    <phoneticPr fontId="3"/>
  </si>
  <si>
    <t>017017</t>
    <phoneticPr fontId="3"/>
  </si>
  <si>
    <t>017018</t>
    <phoneticPr fontId="3"/>
  </si>
  <si>
    <t>017019</t>
    <phoneticPr fontId="3"/>
  </si>
  <si>
    <t>017020</t>
    <phoneticPr fontId="3"/>
  </si>
  <si>
    <t>017040</t>
    <phoneticPr fontId="3"/>
  </si>
  <si>
    <t>017065</t>
    <phoneticPr fontId="3"/>
  </si>
  <si>
    <t>017066</t>
    <phoneticPr fontId="3"/>
  </si>
  <si>
    <t>017067</t>
    <phoneticPr fontId="3"/>
  </si>
  <si>
    <t>017068</t>
    <phoneticPr fontId="3"/>
  </si>
  <si>
    <t>017069</t>
    <phoneticPr fontId="3"/>
  </si>
  <si>
    <t>017070</t>
    <phoneticPr fontId="3"/>
  </si>
  <si>
    <t>017071</t>
    <phoneticPr fontId="3"/>
  </si>
  <si>
    <t>017072</t>
    <phoneticPr fontId="3"/>
  </si>
  <si>
    <t>017100</t>
    <phoneticPr fontId="3"/>
  </si>
  <si>
    <t>017142</t>
    <phoneticPr fontId="3"/>
  </si>
  <si>
    <t>017143</t>
    <phoneticPr fontId="3"/>
  </si>
  <si>
    <t>017144</t>
    <phoneticPr fontId="3"/>
  </si>
  <si>
    <t>017172</t>
    <phoneticPr fontId="3"/>
  </si>
  <si>
    <t>017173</t>
    <phoneticPr fontId="3"/>
  </si>
  <si>
    <t>017174</t>
    <phoneticPr fontId="3"/>
  </si>
  <si>
    <t>017175</t>
    <phoneticPr fontId="3"/>
  </si>
  <si>
    <t>017176</t>
    <phoneticPr fontId="3"/>
  </si>
  <si>
    <t>017177</t>
    <phoneticPr fontId="3"/>
  </si>
  <si>
    <t>017178</t>
    <phoneticPr fontId="3"/>
  </si>
  <si>
    <t>017180</t>
    <phoneticPr fontId="3"/>
  </si>
  <si>
    <t>017200</t>
    <phoneticPr fontId="3"/>
  </si>
  <si>
    <t>017199</t>
    <phoneticPr fontId="3"/>
  </si>
  <si>
    <t>017201</t>
    <phoneticPr fontId="3"/>
  </si>
  <si>
    <t>017202</t>
    <phoneticPr fontId="3"/>
  </si>
  <si>
    <t>017225</t>
    <phoneticPr fontId="3"/>
  </si>
  <si>
    <t>017226</t>
    <phoneticPr fontId="3"/>
  </si>
  <si>
    <t>017228</t>
    <phoneticPr fontId="3"/>
  </si>
  <si>
    <t>017230</t>
    <phoneticPr fontId="3"/>
  </si>
  <si>
    <t>017231</t>
    <phoneticPr fontId="3"/>
  </si>
  <si>
    <t>017238</t>
    <phoneticPr fontId="3"/>
  </si>
  <si>
    <t>017239</t>
    <phoneticPr fontId="3"/>
  </si>
  <si>
    <t>017256</t>
    <phoneticPr fontId="3"/>
  </si>
  <si>
    <t>017179</t>
    <phoneticPr fontId="3"/>
  </si>
  <si>
    <t>016687</t>
    <phoneticPr fontId="3"/>
  </si>
  <si>
    <t>016714</t>
    <phoneticPr fontId="3"/>
  </si>
  <si>
    <t>016715</t>
    <phoneticPr fontId="3"/>
  </si>
  <si>
    <t>016716</t>
    <phoneticPr fontId="3"/>
  </si>
  <si>
    <t>016725</t>
    <phoneticPr fontId="3"/>
  </si>
  <si>
    <t>016732</t>
    <phoneticPr fontId="3"/>
  </si>
  <si>
    <t>016733</t>
    <phoneticPr fontId="3"/>
  </si>
  <si>
    <t>016734</t>
    <phoneticPr fontId="3"/>
  </si>
  <si>
    <t>016816</t>
    <phoneticPr fontId="3"/>
  </si>
  <si>
    <t>016840</t>
    <phoneticPr fontId="3"/>
  </si>
  <si>
    <t>016880</t>
    <phoneticPr fontId="3"/>
  </si>
  <si>
    <t>016881</t>
    <phoneticPr fontId="3"/>
  </si>
  <si>
    <t>016882</t>
    <phoneticPr fontId="3"/>
  </si>
  <si>
    <t>016883</t>
    <phoneticPr fontId="3"/>
  </si>
  <si>
    <t>016884</t>
    <phoneticPr fontId="3"/>
  </si>
  <si>
    <t>016885</t>
    <phoneticPr fontId="3"/>
  </si>
  <si>
    <t>016886</t>
    <phoneticPr fontId="3"/>
  </si>
  <si>
    <t>016892</t>
    <phoneticPr fontId="3"/>
  </si>
  <si>
    <t>016898</t>
    <phoneticPr fontId="3"/>
  </si>
  <si>
    <t>016900</t>
    <phoneticPr fontId="3"/>
  </si>
  <si>
    <t>016910</t>
    <phoneticPr fontId="3"/>
  </si>
  <si>
    <t>016911</t>
    <phoneticPr fontId="3"/>
  </si>
  <si>
    <t>016912</t>
    <phoneticPr fontId="3"/>
  </si>
  <si>
    <t>016923</t>
    <phoneticPr fontId="3"/>
  </si>
  <si>
    <t>016924</t>
    <phoneticPr fontId="3"/>
  </si>
  <si>
    <t>016921</t>
    <phoneticPr fontId="3"/>
  </si>
  <si>
    <t>016937</t>
    <phoneticPr fontId="3"/>
  </si>
  <si>
    <t>016942</t>
    <phoneticPr fontId="3"/>
  </si>
  <si>
    <t>016944</t>
    <phoneticPr fontId="3"/>
  </si>
  <si>
    <t>016943</t>
    <phoneticPr fontId="3"/>
  </si>
  <si>
    <t>016945</t>
    <phoneticPr fontId="3"/>
  </si>
  <si>
    <t>016946</t>
    <phoneticPr fontId="3"/>
  </si>
  <si>
    <t>016947</t>
    <phoneticPr fontId="3"/>
  </si>
  <si>
    <t>016957</t>
    <phoneticPr fontId="3"/>
  </si>
  <si>
    <t>016948</t>
    <phoneticPr fontId="3"/>
  </si>
  <si>
    <t>016970</t>
    <phoneticPr fontId="3"/>
  </si>
  <si>
    <t>016969</t>
    <phoneticPr fontId="3"/>
  </si>
  <si>
    <t>016968</t>
    <phoneticPr fontId="3"/>
  </si>
  <si>
    <t>016966</t>
    <phoneticPr fontId="3"/>
  </si>
  <si>
    <t>016965</t>
    <phoneticPr fontId="3"/>
  </si>
  <si>
    <t>016974</t>
    <phoneticPr fontId="3"/>
  </si>
  <si>
    <t>016975</t>
    <phoneticPr fontId="3"/>
  </si>
  <si>
    <t>016988</t>
    <phoneticPr fontId="3"/>
  </si>
  <si>
    <t>016989</t>
    <phoneticPr fontId="3"/>
  </si>
  <si>
    <t>016990</t>
    <phoneticPr fontId="3"/>
  </si>
  <si>
    <t>016991</t>
    <phoneticPr fontId="3"/>
  </si>
  <si>
    <t>017021</t>
    <phoneticPr fontId="3"/>
  </si>
  <si>
    <t>017022</t>
    <phoneticPr fontId="3"/>
  </si>
  <si>
    <t>017077</t>
    <phoneticPr fontId="3"/>
  </si>
  <si>
    <t>017081</t>
    <phoneticPr fontId="3"/>
  </si>
  <si>
    <t>017083</t>
    <phoneticPr fontId="3"/>
  </si>
  <si>
    <t>017085</t>
    <phoneticPr fontId="3"/>
  </si>
  <si>
    <t>017086</t>
    <phoneticPr fontId="3"/>
  </si>
  <si>
    <t>017106</t>
    <phoneticPr fontId="3"/>
  </si>
  <si>
    <t>017108</t>
    <phoneticPr fontId="3"/>
  </si>
  <si>
    <t>017109</t>
    <phoneticPr fontId="3"/>
  </si>
  <si>
    <t>017103</t>
    <phoneticPr fontId="3"/>
  </si>
  <si>
    <t>017104</t>
    <phoneticPr fontId="3"/>
  </si>
  <si>
    <t>017111</t>
    <phoneticPr fontId="3"/>
  </si>
  <si>
    <t>017112</t>
    <phoneticPr fontId="3"/>
  </si>
  <si>
    <t>017134</t>
    <phoneticPr fontId="3"/>
  </si>
  <si>
    <t>017137</t>
    <phoneticPr fontId="3"/>
  </si>
  <si>
    <t>017135</t>
    <phoneticPr fontId="3"/>
  </si>
  <si>
    <t>017131</t>
    <phoneticPr fontId="3"/>
  </si>
  <si>
    <t>017130</t>
    <phoneticPr fontId="3"/>
  </si>
  <si>
    <t>017148</t>
    <phoneticPr fontId="3"/>
  </si>
  <si>
    <t>017149</t>
    <phoneticPr fontId="3"/>
  </si>
  <si>
    <t>017169</t>
    <phoneticPr fontId="3"/>
  </si>
  <si>
    <t>017171</t>
    <phoneticPr fontId="3"/>
  </si>
  <si>
    <t>017210</t>
    <phoneticPr fontId="3"/>
  </si>
  <si>
    <t>017211</t>
    <phoneticPr fontId="3"/>
  </si>
  <si>
    <t>017213</t>
    <phoneticPr fontId="3"/>
  </si>
  <si>
    <t>017214</t>
    <phoneticPr fontId="3"/>
  </si>
  <si>
    <t>017223</t>
    <phoneticPr fontId="3"/>
  </si>
  <si>
    <t>017262</t>
    <phoneticPr fontId="3"/>
  </si>
  <si>
    <t>016853</t>
    <phoneticPr fontId="3"/>
  </si>
  <si>
    <t>016847</t>
    <phoneticPr fontId="3"/>
  </si>
  <si>
    <t>016846</t>
    <phoneticPr fontId="3"/>
  </si>
  <si>
    <t>016821</t>
    <phoneticPr fontId="3"/>
  </si>
  <si>
    <t>016820</t>
    <phoneticPr fontId="3"/>
  </si>
  <si>
    <t>016819</t>
    <phoneticPr fontId="3"/>
  </si>
  <si>
    <t>016783</t>
    <phoneticPr fontId="3"/>
  </si>
  <si>
    <t>016775</t>
    <phoneticPr fontId="3"/>
  </si>
  <si>
    <t>016771</t>
    <phoneticPr fontId="3"/>
  </si>
  <si>
    <t>016769</t>
    <phoneticPr fontId="3"/>
  </si>
  <si>
    <t>016766</t>
    <phoneticPr fontId="3"/>
  </si>
  <si>
    <t>016765</t>
    <phoneticPr fontId="3"/>
  </si>
  <si>
    <t>016764</t>
    <phoneticPr fontId="3"/>
  </si>
  <si>
    <t>016784</t>
    <phoneticPr fontId="3"/>
  </si>
  <si>
    <t>016754</t>
    <phoneticPr fontId="3"/>
  </si>
  <si>
    <t>016747</t>
    <phoneticPr fontId="3"/>
  </si>
  <si>
    <t>016746</t>
    <phoneticPr fontId="3"/>
  </si>
  <si>
    <t>016745</t>
    <phoneticPr fontId="3"/>
  </si>
  <si>
    <t>016706</t>
    <phoneticPr fontId="3"/>
  </si>
  <si>
    <t>016704</t>
    <phoneticPr fontId="3"/>
  </si>
  <si>
    <t>016700</t>
    <phoneticPr fontId="3"/>
  </si>
  <si>
    <t>016701</t>
    <phoneticPr fontId="3"/>
  </si>
  <si>
    <t>016699</t>
    <phoneticPr fontId="3"/>
  </si>
  <si>
    <t>016698</t>
    <phoneticPr fontId="3"/>
  </si>
  <si>
    <t>016683</t>
    <phoneticPr fontId="3"/>
  </si>
  <si>
    <t>WH7/1646</t>
    <phoneticPr fontId="3"/>
  </si>
  <si>
    <t>2607-5371</t>
    <phoneticPr fontId="3"/>
  </si>
  <si>
    <t>0017264</t>
    <phoneticPr fontId="3"/>
  </si>
  <si>
    <t>2607-4994</t>
    <phoneticPr fontId="3"/>
  </si>
  <si>
    <t>017151</t>
    <phoneticPr fontId="3"/>
  </si>
  <si>
    <t>017217</t>
    <phoneticPr fontId="3"/>
  </si>
  <si>
    <t>017003</t>
    <phoneticPr fontId="3"/>
  </si>
  <si>
    <t>WH7/1643</t>
    <phoneticPr fontId="3"/>
  </si>
  <si>
    <t>2607-5372</t>
    <phoneticPr fontId="3"/>
  </si>
  <si>
    <t>0017265</t>
    <phoneticPr fontId="3"/>
  </si>
  <si>
    <t xml:space="preserve">         </t>
    <phoneticPr fontId="3"/>
  </si>
  <si>
    <t>WH8/00123</t>
    <phoneticPr fontId="3"/>
  </si>
  <si>
    <t>2607-5374</t>
    <phoneticPr fontId="3"/>
  </si>
  <si>
    <t>2607-5000</t>
    <phoneticPr fontId="3"/>
  </si>
  <si>
    <t>30/07/2026</t>
    <phoneticPr fontId="3"/>
  </si>
  <si>
    <t>02880</t>
    <phoneticPr fontId="3"/>
  </si>
  <si>
    <t>1388/ກຄພນ</t>
    <phoneticPr fontId="3"/>
  </si>
  <si>
    <t>WH3/0624</t>
    <phoneticPr fontId="3"/>
  </si>
  <si>
    <t>2607-4997</t>
    <phoneticPr fontId="3"/>
  </si>
  <si>
    <t>02879</t>
    <phoneticPr fontId="3"/>
  </si>
  <si>
    <t>2607-5375</t>
  </si>
  <si>
    <t>2607-5376</t>
  </si>
  <si>
    <t>2607-5377</t>
  </si>
  <si>
    <t>WH6/0413</t>
    <phoneticPr fontId="3"/>
  </si>
  <si>
    <t>2607-4999</t>
    <phoneticPr fontId="3"/>
  </si>
  <si>
    <t>02877</t>
    <phoneticPr fontId="3"/>
  </si>
  <si>
    <t>WH1/1809</t>
    <phoneticPr fontId="3"/>
  </si>
  <si>
    <t>017267</t>
    <phoneticPr fontId="3"/>
  </si>
  <si>
    <t>2607-4998</t>
    <phoneticPr fontId="3"/>
  </si>
  <si>
    <t>02878</t>
    <phoneticPr fontId="3"/>
  </si>
  <si>
    <t>WH2/1213</t>
    <phoneticPr fontId="3"/>
  </si>
  <si>
    <t>02881</t>
    <phoneticPr fontId="3"/>
  </si>
  <si>
    <t>02883</t>
    <phoneticPr fontId="3"/>
  </si>
  <si>
    <t>WH7/1647</t>
    <phoneticPr fontId="3"/>
  </si>
  <si>
    <t>2607-5378</t>
    <phoneticPr fontId="3"/>
  </si>
  <si>
    <t>0017271</t>
    <phoneticPr fontId="3"/>
  </si>
  <si>
    <t>WH7/1650</t>
    <phoneticPr fontId="3"/>
  </si>
  <si>
    <t>0017273</t>
    <phoneticPr fontId="3"/>
  </si>
  <si>
    <t>31/07/2026</t>
    <phoneticPr fontId="3"/>
  </si>
  <si>
    <t>WH7/1649</t>
    <phoneticPr fontId="3"/>
  </si>
  <si>
    <t>2607-5380</t>
  </si>
  <si>
    <t>2607-5379</t>
  </si>
  <si>
    <t>2607-5381</t>
  </si>
  <si>
    <t>WH7/1648</t>
    <phoneticPr fontId="3"/>
  </si>
  <si>
    <t>2607-4954</t>
    <phoneticPr fontId="3"/>
  </si>
  <si>
    <t>WH8/00102</t>
    <phoneticPr fontId="3"/>
  </si>
  <si>
    <t>2607-5180</t>
    <phoneticPr fontId="3"/>
  </si>
  <si>
    <t>2607-4811</t>
    <phoneticPr fontId="3"/>
  </si>
  <si>
    <t>02767</t>
    <phoneticPr fontId="3"/>
  </si>
  <si>
    <t>017268</t>
    <phoneticPr fontId="3"/>
  </si>
  <si>
    <t>017266</t>
    <phoneticPr fontId="3"/>
  </si>
  <si>
    <t>017270</t>
    <phoneticPr fontId="3"/>
  </si>
  <si>
    <t>017269</t>
    <phoneticPr fontId="3"/>
  </si>
  <si>
    <t>017272</t>
    <phoneticPr fontId="3"/>
  </si>
  <si>
    <t>02876</t>
    <phoneticPr fontId="3"/>
  </si>
  <si>
    <t>02874</t>
    <phoneticPr fontId="3"/>
  </si>
  <si>
    <t>02830</t>
    <phoneticPr fontId="3"/>
  </si>
  <si>
    <t>02774</t>
    <phoneticPr fontId="3"/>
  </si>
  <si>
    <t>02743</t>
    <phoneticPr fontId="3"/>
  </si>
  <si>
    <t>WH7/1652</t>
    <phoneticPr fontId="3"/>
  </si>
  <si>
    <t>2607-5384</t>
    <phoneticPr fontId="3"/>
  </si>
  <si>
    <t>0017277</t>
    <phoneticPr fontId="3"/>
  </si>
  <si>
    <t>2607-5007</t>
    <phoneticPr fontId="3"/>
  </si>
  <si>
    <t>WH7/1651</t>
    <phoneticPr fontId="3"/>
  </si>
  <si>
    <t>2607-5383</t>
    <phoneticPr fontId="3"/>
  </si>
  <si>
    <t>0017276</t>
    <phoneticPr fontId="3"/>
  </si>
  <si>
    <t>2607-5006</t>
    <phoneticPr fontId="3"/>
  </si>
  <si>
    <t>WH7/1654</t>
    <phoneticPr fontId="3"/>
  </si>
  <si>
    <t>2607-5385</t>
    <phoneticPr fontId="3"/>
  </si>
  <si>
    <t>0017278</t>
    <phoneticPr fontId="3"/>
  </si>
  <si>
    <t>2607-2008</t>
    <phoneticPr fontId="3"/>
  </si>
  <si>
    <t>02884</t>
    <phoneticPr fontId="3"/>
  </si>
  <si>
    <t>ກະຊວງອຸດສາຫະກຳແລະການຄ້າ(ກົມການຄ້າພາຍໃນ)</t>
    <phoneticPr fontId="3"/>
  </si>
  <si>
    <t>ເງີນຊົດເຊີຍວິກິດນຳມັນ</t>
    <phoneticPr fontId="3"/>
  </si>
  <si>
    <t>2607-4827</t>
    <phoneticPr fontId="3"/>
  </si>
  <si>
    <t>ເຂື່ອນໄຟຟ້ານ້ຳງື່ມ1</t>
    <phoneticPr fontId="3"/>
  </si>
  <si>
    <t>ຄ່າບໍລິການລ້າງແທ້ງ</t>
    <phoneticPr fontId="3"/>
  </si>
  <si>
    <t>2607-5388</t>
    <phoneticPr fontId="3"/>
  </si>
  <si>
    <t>2607-5389</t>
  </si>
  <si>
    <t>017279</t>
    <phoneticPr fontId="3"/>
  </si>
  <si>
    <t>017280</t>
  </si>
  <si>
    <t>017281</t>
  </si>
  <si>
    <t>0016806</t>
    <phoneticPr fontId="3"/>
  </si>
  <si>
    <t>0017284</t>
    <phoneticPr fontId="3"/>
  </si>
  <si>
    <t>0017282</t>
    <phoneticPr fontId="3"/>
  </si>
  <si>
    <t>0017286</t>
    <phoneticPr fontId="3"/>
  </si>
  <si>
    <t>0017287</t>
    <phoneticPr fontId="3"/>
  </si>
  <si>
    <t>0017288</t>
    <phoneticPr fontId="3"/>
  </si>
  <si>
    <t>0017289</t>
    <phoneticPr fontId="3"/>
  </si>
  <si>
    <t>0017285</t>
    <phoneticPr fontId="3"/>
  </si>
  <si>
    <t>0017291</t>
    <phoneticPr fontId="3"/>
  </si>
  <si>
    <t>0017290</t>
    <phoneticPr fontId="3"/>
  </si>
  <si>
    <t>ໝາຍເຫດ ມີ2ບີນທີ່ມີການແກ້ໄຂ Bansi.la ແຕ່ບໍ່ໄດ້ປກ້ໄຂໃນOdoo ວັນທີ່30.07.2026 ເລກທີ່ໃບບິນອາກອນເກົ່າ0017274-0017275ໄໝ່0017290-0017291</t>
    <phoneticPr fontId="3"/>
  </si>
  <si>
    <t>12.08.2026</t>
  </si>
  <si>
    <t>000000017421</t>
  </si>
  <si>
    <t>126080112</t>
  </si>
  <si>
    <t>242210766000</t>
  </si>
  <si>
    <t>VTE-F</t>
  </si>
  <si>
    <t>ກາຊວນ</t>
  </si>
  <si>
    <t>DB0-T-0001</t>
  </si>
  <si>
    <t>ບໍລິສັດ ອານຸສິດ ໂລຈິສຕິກ ຈຳກັດ</t>
  </si>
  <si>
    <t>10.08.2026</t>
  </si>
  <si>
    <t>000000017420</t>
  </si>
  <si>
    <t>126080111</t>
  </si>
  <si>
    <t>722125036000</t>
  </si>
  <si>
    <t>KHM-F</t>
  </si>
  <si>
    <t>ບໍລິສັດ ຄຳມ່ວນ ພັດທະນາ ກໍ່ສ້າງ ແລະ ການຄ້າ ຈຳກັດຜູ້ດຽວ</t>
  </si>
  <si>
    <t>ໃບສັ່ງຊື້ ວັນທີ 12/08/2026 ຈຳນວນ 100.000 ລິດ</t>
  </si>
  <si>
    <t>000000017419</t>
  </si>
  <si>
    <t>126080110</t>
  </si>
  <si>
    <t>000000017418</t>
  </si>
  <si>
    <t>126080109</t>
  </si>
  <si>
    <t>000000017415</t>
  </si>
  <si>
    <t>126080106</t>
  </si>
  <si>
    <t>11.08.2026</t>
  </si>
  <si>
    <t>000000017413</t>
  </si>
  <si>
    <t>126080105</t>
  </si>
  <si>
    <t>010107119000</t>
  </si>
  <si>
    <t>LNT-F</t>
  </si>
  <si>
    <t>ບໍລິສັດ ການຄ້າ ຂາເຂົ້າ-ຂາອອກ ສາກົນລາວ-ໄທ ຈໍາກັດ</t>
  </si>
  <si>
    <t>000000017409</t>
  </si>
  <si>
    <t>126080100</t>
  </si>
  <si>
    <t>850687219000</t>
  </si>
  <si>
    <t>BLX-F</t>
  </si>
  <si>
    <t>ບໍລິສັດ ຮ່ວມມືພັດທະນາ ບໍ່ແຮ່ ໄຊສົມບູນ ຈຳກັດ</t>
  </si>
  <si>
    <t>000000017408</t>
  </si>
  <si>
    <t>126080099</t>
  </si>
  <si>
    <t>000000017407</t>
  </si>
  <si>
    <t>126080098</t>
  </si>
  <si>
    <t>000000017406</t>
  </si>
  <si>
    <t>126080097</t>
  </si>
  <si>
    <t>000000017405</t>
  </si>
  <si>
    <t>126080096</t>
  </si>
  <si>
    <t>163515647000</t>
  </si>
  <si>
    <t>ບໍລິສັດ ເຊິງຊີນ ບໍ່ແຮ່ ຈໍາກັດຜູ້ດຽວ</t>
  </si>
  <si>
    <t>000000017404</t>
  </si>
  <si>
    <t>126080094</t>
  </si>
  <si>
    <t>000000017410</t>
  </si>
  <si>
    <t>126080093</t>
  </si>
  <si>
    <t>000000017400</t>
  </si>
  <si>
    <t>126080092</t>
  </si>
  <si>
    <t>000000017397</t>
  </si>
  <si>
    <t>126080089</t>
  </si>
  <si>
    <t>004472449000</t>
  </si>
  <si>
    <t>ບໍລິສັດ ບຸນມີ ການຄ້າສາກົນ ຂາເຂົ້າ-ຂາອອກ ຈໍາກັດຜູ້ດຽວ</t>
  </si>
  <si>
    <t>PO26080083</t>
  </si>
  <si>
    <t>000000017395</t>
  </si>
  <si>
    <t>126080086</t>
  </si>
  <si>
    <t>852057219000</t>
  </si>
  <si>
    <t>SVK-F</t>
  </si>
  <si>
    <t>ບໍລິສັດ ທີດີ ລາວ ແລະ ເອັມວີດີຊີ ຮ່ວມທຶນ ຈຳກັດ</t>
  </si>
  <si>
    <t>000000017394</t>
  </si>
  <si>
    <t>000000017393</t>
  </si>
  <si>
    <t>126080084</t>
  </si>
  <si>
    <t>000000017392</t>
  </si>
  <si>
    <t>126080081</t>
  </si>
  <si>
    <t>728535774000</t>
  </si>
  <si>
    <t>ບໍລິສັດ ຊະນະຄາມ ມາຍນີ້ງ ຈຳກັດຜູ້ດຽວ</t>
  </si>
  <si>
    <t>PO: 0001-26</t>
  </si>
  <si>
    <t>06.08.2026</t>
  </si>
  <si>
    <t>000000017390</t>
  </si>
  <si>
    <t>126080080</t>
  </si>
  <si>
    <t>000000017389</t>
  </si>
  <si>
    <t>126080079</t>
  </si>
  <si>
    <t>000000017388</t>
  </si>
  <si>
    <t>126080078</t>
  </si>
  <si>
    <t>08.08.2026</t>
  </si>
  <si>
    <t>000000017391</t>
  </si>
  <si>
    <t>126080082</t>
  </si>
  <si>
    <t>855264441000</t>
  </si>
  <si>
    <t>07.08.2026</t>
  </si>
  <si>
    <t>000000017381</t>
  </si>
  <si>
    <t>126080071</t>
  </si>
  <si>
    <t>365067041000</t>
  </si>
  <si>
    <t>000000017380</t>
  </si>
  <si>
    <t>126080070</t>
  </si>
  <si>
    <t>000000017379</t>
  </si>
  <si>
    <t>126080069</t>
  </si>
  <si>
    <t>383569648900</t>
  </si>
  <si>
    <t>ບໍລິສັດ ກໍ່ສ້າງ ສາກົນ ລາວບໍ່ເຕ່ນ ຈໍາກັດ</t>
  </si>
  <si>
    <t>000000017378</t>
  </si>
  <si>
    <t>126080068</t>
  </si>
  <si>
    <t>000000017377</t>
  </si>
  <si>
    <t>126080067</t>
  </si>
  <si>
    <t>000000017374</t>
  </si>
  <si>
    <t>126080066</t>
  </si>
  <si>
    <t>651557835000</t>
  </si>
  <si>
    <t>ບໍລິສັດ ລາວເມົາບໍລິການຂົນສົ່ງພາຍໃນ ແລະ ຕ່າງປະເທດ ຈໍາກັດຜູ້ດຽວ</t>
  </si>
  <si>
    <t>PO26070288</t>
  </si>
  <si>
    <t>000000017372</t>
  </si>
  <si>
    <t>126080062</t>
  </si>
  <si>
    <t>000000017371</t>
  </si>
  <si>
    <t>126080061</t>
  </si>
  <si>
    <t>000000017370</t>
  </si>
  <si>
    <t>126080060</t>
  </si>
  <si>
    <t>507315539000</t>
  </si>
  <si>
    <t>ວິສາຫະກິດ ເອັສແອນເອັສ ການຄ້າ ແລະ ຂົນສົ່ງ</t>
  </si>
  <si>
    <t>000000017369</t>
  </si>
  <si>
    <t>126080059</t>
  </si>
  <si>
    <t>822327833000</t>
  </si>
  <si>
    <t>ບໍລີສັດ ໄຊນາ ຫົງຢວນ ພັດທະນາບໍ່ແຮ່ ຈຳກັດ</t>
  </si>
  <si>
    <t>PO: 0002-26</t>
  </si>
  <si>
    <t>000000017368</t>
  </si>
  <si>
    <t>126080058</t>
  </si>
  <si>
    <t>368118215000</t>
  </si>
  <si>
    <t>ບໍລິສັດ ກຸ່ມສໍານັກງານທາງລົດໄຟປະເທດຈີນ ທີ 19 ລາວ ຈໍາກັດຜູ້ດຽວ</t>
  </si>
  <si>
    <t>000000017367</t>
  </si>
  <si>
    <t>126080057</t>
  </si>
  <si>
    <t>000000017365</t>
  </si>
  <si>
    <t>126080056</t>
  </si>
  <si>
    <t>000000017366</t>
  </si>
  <si>
    <t>126080055</t>
  </si>
  <si>
    <t>000000017364</t>
  </si>
  <si>
    <t>126080054</t>
  </si>
  <si>
    <t>000000017361</t>
  </si>
  <si>
    <t>126080053</t>
  </si>
  <si>
    <t>000000017360</t>
  </si>
  <si>
    <t>126080052</t>
  </si>
  <si>
    <t>000000017363</t>
  </si>
  <si>
    <t>126080051</t>
  </si>
  <si>
    <t>662885011000</t>
  </si>
  <si>
    <t>ບໍລິສັດ ດີຄອນ ກໍ່ສ້າງ ຈໍາກັດຜູ້ດຽວ</t>
  </si>
  <si>
    <t>POMCSl316</t>
  </si>
  <si>
    <t>000000017362</t>
  </si>
  <si>
    <t>126080050</t>
  </si>
  <si>
    <t>791385527900</t>
  </si>
  <si>
    <t>ບໍລິສັດ ເອັມຊີເອັສ ມາຍນີ້ງອິນດັສທຣີລາວ ຈຳກັດ</t>
  </si>
  <si>
    <t>000000017359</t>
  </si>
  <si>
    <t>126080049</t>
  </si>
  <si>
    <t>000000017358</t>
  </si>
  <si>
    <t>126080048</t>
  </si>
  <si>
    <t>000000017356</t>
  </si>
  <si>
    <t>126080046</t>
  </si>
  <si>
    <t>668623865000</t>
  </si>
  <si>
    <t>ບໍລິສັດ ອິນຟິນິດ ໂລຈິສຕິກ ຈໍາກັດ</t>
  </si>
  <si>
    <t>05.08.2026</t>
  </si>
  <si>
    <t>000000017355</t>
  </si>
  <si>
    <t>126080045</t>
  </si>
  <si>
    <t>775043359000</t>
  </si>
  <si>
    <t>ບໍລິສັດ ຫານທອງ ຊັບພລາຍເຊນ ສາກົນ (ລາວ) ຈໍາກັດຜູ້ດຽສ</t>
  </si>
  <si>
    <t>000000017354</t>
  </si>
  <si>
    <t>126080044</t>
  </si>
  <si>
    <t>PO026070288</t>
  </si>
  <si>
    <t>000000017350</t>
  </si>
  <si>
    <t>126080042</t>
  </si>
  <si>
    <t>04.08.2026</t>
  </si>
  <si>
    <t>000000017330</t>
  </si>
  <si>
    <t>126080036</t>
  </si>
  <si>
    <t>000000017329</t>
  </si>
  <si>
    <t>126080035</t>
  </si>
  <si>
    <t>000000017351</t>
  </si>
  <si>
    <t>126080034</t>
  </si>
  <si>
    <t>000000017348</t>
  </si>
  <si>
    <t>126080033</t>
  </si>
  <si>
    <t>330672266000</t>
  </si>
  <si>
    <t>ບໍລິສັດ ພອນຈະເລີນຊັບ ກໍ່ສ້າງຂົວ-ທາງ ຈໍາກັດຜູ້ດຽວ</t>
  </si>
  <si>
    <t>000000017324</t>
  </si>
  <si>
    <t>126080032</t>
  </si>
  <si>
    <t>000000017315</t>
  </si>
  <si>
    <t>126080024</t>
  </si>
  <si>
    <t>ປໍ້ານໍ້າມັນ ບໍ່ເຕັນ</t>
  </si>
  <si>
    <t>PO.209/SCH.KM10</t>
  </si>
  <si>
    <t>03.08.2026</t>
  </si>
  <si>
    <t>000000017332</t>
  </si>
  <si>
    <t>126080027</t>
  </si>
  <si>
    <t>546578734000</t>
  </si>
  <si>
    <t>SVK-SC10</t>
  </si>
  <si>
    <t>ແອັດຊັງ 91</t>
  </si>
  <si>
    <t>G91-T-0002</t>
  </si>
  <si>
    <t>ບໍລິສັດ ສົມໃຈ ຫຼັກ10 (ຈໍາໜ່າຍນໍ້າມັນພາຍໃນ) ຈໍາກັດຜູ້ດຽວ</t>
  </si>
  <si>
    <t>000000017352</t>
  </si>
  <si>
    <t>126080026</t>
  </si>
  <si>
    <t>182462875000</t>
  </si>
  <si>
    <t>ບໍລິສັດ ທີພີຊີ ກໍ່ສ້າງ ຈໍາກັດຜູ້ດຽວ</t>
  </si>
  <si>
    <t>000000017314</t>
  </si>
  <si>
    <t>126080023</t>
  </si>
  <si>
    <t>000000017333</t>
  </si>
  <si>
    <t>126080021</t>
  </si>
  <si>
    <t>000000017310</t>
  </si>
  <si>
    <t>126080019</t>
  </si>
  <si>
    <t>000000017334</t>
  </si>
  <si>
    <t>126080018</t>
  </si>
  <si>
    <t>000000017335</t>
  </si>
  <si>
    <t>126080017</t>
  </si>
  <si>
    <t>000000017336</t>
  </si>
  <si>
    <t>126080016</t>
  </si>
  <si>
    <t>000000017306</t>
  </si>
  <si>
    <t>126080015</t>
  </si>
  <si>
    <t>887131456000</t>
  </si>
  <si>
    <t>ບໍລິສັດ ເອັນທີພີ ຈຳໜ່າຍພາຍໃນ ນ້ຳມັນເຊື້ອໄຟ ຈຳກັດ</t>
  </si>
  <si>
    <t>000000017305</t>
  </si>
  <si>
    <t>126080014</t>
  </si>
  <si>
    <t>000000017303</t>
  </si>
  <si>
    <t>126080012</t>
  </si>
  <si>
    <t>000000017337</t>
  </si>
  <si>
    <t>126080011</t>
  </si>
  <si>
    <t>000000017338</t>
  </si>
  <si>
    <t>126080010</t>
  </si>
  <si>
    <t>01.08.2026</t>
  </si>
  <si>
    <t>000000017300</t>
  </si>
  <si>
    <t>126080004</t>
  </si>
  <si>
    <t>000000017299</t>
  </si>
  <si>
    <t>126080003</t>
  </si>
  <si>
    <t>02.08.2026</t>
  </si>
  <si>
    <t>000000017343</t>
  </si>
  <si>
    <t>126080002</t>
  </si>
  <si>
    <t>000000017297</t>
  </si>
  <si>
    <t>126080001</t>
  </si>
  <si>
    <t>000000017339</t>
  </si>
  <si>
    <t>126080009</t>
    <phoneticPr fontId="40"/>
  </si>
  <si>
    <t>000000017340</t>
  </si>
  <si>
    <t>126080008</t>
  </si>
  <si>
    <t>000000017341</t>
  </si>
  <si>
    <t>126080007</t>
  </si>
  <si>
    <t>283354725900</t>
  </si>
  <si>
    <t>ບໍລິສັດ ພະນົມພອນການຄ້າ ຂາອອກ-ຂາເຂົ້າ ຈໍາກັດຜູ້ດຽວ</t>
  </si>
  <si>
    <t>000000017342</t>
  </si>
  <si>
    <t>126080006</t>
    <phoneticPr fontId="40"/>
  </si>
  <si>
    <t>136930833900</t>
  </si>
  <si>
    <t>ບໍລິສັດ ຄໍາມ່ວນ ຊີມັງ ຈໍາກັດ</t>
  </si>
  <si>
    <t xml:space="preserve">        ສະຫຼຸບບິນຂາຍນໍ້າມັນໃສ ກາຊວນ+ແອັດຊັງ 91 ປະຈຳເດືອນ 08/2026</t>
    <phoneticPr fontId="3"/>
  </si>
  <si>
    <t>ຄີສ່ວນຫຼຸດເອງ</t>
  </si>
  <si>
    <t>ສູດ</t>
  </si>
  <si>
    <t>1388/ກຄພນ</t>
  </si>
  <si>
    <t>126080013</t>
  </si>
  <si>
    <t>000000017304</t>
  </si>
  <si>
    <t>03.08.2026</t>
    <phoneticPr fontId="3"/>
  </si>
  <si>
    <t>126080020</t>
  </si>
  <si>
    <t>000000017311</t>
  </si>
  <si>
    <t>1426/ກຄພນ</t>
  </si>
  <si>
    <t>ບໍລິສັດ ອານຸສິດ ໂລຈິສຕິກ ຈຳກັດ</t>
    <phoneticPr fontId="3"/>
  </si>
  <si>
    <t>126080043</t>
  </si>
  <si>
    <t>1426/ກຄພນ</t>
    <phoneticPr fontId="3"/>
  </si>
  <si>
    <t xml:space="preserve"> 1426/ກຄພນ </t>
  </si>
  <si>
    <t>DB0-T-0001</t>
    <phoneticPr fontId="3"/>
  </si>
  <si>
    <t>ບໍລິສັດ ທີທີ ພາວເວີ້ 45 ຈໍາກັດຜູ້ດຽວ</t>
    <phoneticPr fontId="3"/>
  </si>
  <si>
    <t>887131456-0-00</t>
    <phoneticPr fontId="3"/>
  </si>
  <si>
    <t>07.08.2026</t>
    <phoneticPr fontId="3"/>
  </si>
  <si>
    <t>ບໍລິສັດ ລາວ ຢູຄູນ ເຫຼັກກ້າບໍ່ແຮ່ ຈຳກັດ</t>
    <phoneticPr fontId="3"/>
  </si>
  <si>
    <t>126080077</t>
    <phoneticPr fontId="3"/>
  </si>
  <si>
    <t xml:space="preserve"> 1426/ກຄພນ</t>
  </si>
  <si>
    <t>126080085</t>
    <phoneticPr fontId="3"/>
  </si>
  <si>
    <t xml:space="preserve">  1426/ກຄພນ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</si>
</sst>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(* #,##0_);_(* \(#,##0\);_(* &quot;-&quot;_);_(@_)"/>
    <numFmt numFmtId="43" formatCode="_(* #,##0.00_);_(* \(#,##0.00\);_(* &quot;-&quot;??_);_(@_)"/>
    <numFmt numFmtId="176" formatCode="dd/mm/yyyy;@"/>
    <numFmt numFmtId="177" formatCode="_(* #,##0.00_);_(* \(#,##0.00\);_(* &quot;-&quot;_);_(@_)"/>
    <numFmt numFmtId="178" formatCode="_(* #,##0_);_(* \(#,##0\);_(* &quot;-&quot;??_);_(@_)"/>
    <numFmt numFmtId="179" formatCode="_(* #,##0.0_);_(* \(#,##0.0\);_(* &quot;-&quot;_);_(@_)"/>
    <numFmt numFmtId="180" formatCode="_(* #,##0.000_);_(* \(#,##0.000\);_(* &quot;-&quot;_);_(@_)"/>
    <numFmt numFmtId="181" formatCode="_ * #,##0.00_)\ ;_ * \-\ #,##0.00_)\ ;_ * &quot;-&quot;??_)\ ;_ @_ "/>
    <numFmt numFmtId="182" formatCode="0_);[Red]\(0\)"/>
  </numFmts>
  <fonts count="41">
    <font>
      <sz val="10"/>
      <name val="Arial"/>
      <family val="2"/>
    </font>
    <font>
      <sz val="10"/>
      <name val="Arial"/>
      <family val="2"/>
    </font>
    <font>
      <sz val="20"/>
      <color theme="1"/>
      <name val="Phetsarath OT"/>
    </font>
    <font>
      <sz val="6"/>
      <name val="Tsukushi A Round Gothic Bold"/>
      <family val="3"/>
      <charset val="128"/>
    </font>
    <font>
      <sz val="6"/>
      <name val="Yu Gothic"/>
      <family val="3"/>
      <charset val="128"/>
    </font>
    <font>
      <b/>
      <sz val="20"/>
      <color theme="1"/>
      <name val="Phetsarath OT"/>
    </font>
    <font>
      <sz val="8"/>
      <name val="Arial"/>
      <family val="2"/>
    </font>
    <font>
      <sz val="28"/>
      <color theme="1"/>
      <name val="Phetsarath OT"/>
    </font>
    <font>
      <b/>
      <u/>
      <sz val="20"/>
      <color theme="1"/>
      <name val="Phetsarath OT"/>
    </font>
    <font>
      <b/>
      <sz val="20"/>
      <color theme="0"/>
      <name val="Phetsarath OT"/>
    </font>
    <font>
      <sz val="12"/>
      <color theme="1"/>
      <name val="游ゴシック"/>
      <family val="2"/>
      <charset val="204"/>
      <scheme val="minor"/>
    </font>
    <font>
      <b/>
      <u/>
      <sz val="28"/>
      <color theme="1"/>
      <name val="Phetsarath OT"/>
    </font>
    <font>
      <b/>
      <sz val="26"/>
      <color theme="1"/>
      <name val="Phetsarath OT"/>
    </font>
    <font>
      <b/>
      <u/>
      <sz val="20"/>
      <color theme="0"/>
      <name val="Phetsarath OT"/>
    </font>
    <font>
      <sz val="26"/>
      <color theme="1"/>
      <name val="Phetsarath OT"/>
    </font>
    <font>
      <b/>
      <sz val="28"/>
      <color theme="1"/>
      <name val="Phetsarath OT"/>
    </font>
    <font>
      <b/>
      <sz val="26"/>
      <color theme="0"/>
      <name val="Phetsarath OT"/>
    </font>
    <font>
      <sz val="26"/>
      <color rgb="FF000000"/>
      <name val="Phetsarath OT"/>
    </font>
    <font>
      <b/>
      <u/>
      <sz val="26"/>
      <color theme="0"/>
      <name val="Phetsarath OT"/>
    </font>
    <font>
      <b/>
      <u val="singleAccounting"/>
      <sz val="26"/>
      <color theme="0"/>
      <name val="Phetsarath OT"/>
    </font>
    <font>
      <sz val="12"/>
      <color theme="1"/>
      <name val="游ゴシック"/>
      <family val="2"/>
      <scheme val="minor"/>
    </font>
    <font>
      <sz val="12"/>
      <name val="游ゴシック"/>
      <family val="2"/>
      <scheme val="minor"/>
    </font>
    <font>
      <sz val="12"/>
      <color theme="1"/>
      <name val="Phetsarath OT"/>
    </font>
    <font>
      <b/>
      <sz val="12"/>
      <color theme="1"/>
      <name val="Phetsarath OT"/>
    </font>
    <font>
      <b/>
      <u/>
      <sz val="12"/>
      <color theme="1"/>
      <name val="Phetsarath OT"/>
    </font>
    <font>
      <b/>
      <sz val="12"/>
      <color theme="0"/>
      <name val="Phetsarath OT"/>
    </font>
    <font>
      <b/>
      <u/>
      <sz val="12"/>
      <color theme="0"/>
      <name val="Phetsarath OT"/>
    </font>
    <font>
      <b/>
      <u val="singleAccounting"/>
      <sz val="12"/>
      <color theme="0"/>
      <name val="Phetsarath OT"/>
    </font>
    <font>
      <b/>
      <sz val="14"/>
      <color theme="1"/>
      <name val="Phetsarath OT"/>
    </font>
    <font>
      <sz val="36"/>
      <color rgb="FFFF0000"/>
      <name val="Phetsarath OT"/>
    </font>
    <font>
      <sz val="36"/>
      <color theme="1"/>
      <name val="Phetsarath OT"/>
    </font>
    <font>
      <b/>
      <sz val="36"/>
      <color theme="1"/>
      <name val="Phetsarath OT"/>
    </font>
    <font>
      <sz val="12"/>
      <color rgb="FF000000"/>
      <name val="Phetsarath OT"/>
    </font>
    <font>
      <sz val="26"/>
      <color rgb="FFFF0000"/>
      <name val="Phetsarath OT"/>
    </font>
    <font>
      <u/>
      <sz val="10"/>
      <color theme="10"/>
      <name val="Arial"/>
      <family val="2"/>
    </font>
    <font>
      <sz val="10"/>
      <color theme="1"/>
      <name val="Phetsarath OT"/>
    </font>
    <font>
      <sz val="12"/>
      <color theme="1"/>
      <name val="Arial"/>
      <family val="2"/>
    </font>
    <font>
      <sz val="12"/>
      <color rgb="FFFF0000"/>
      <name val="Phetsarath OT"/>
    </font>
    <font>
      <sz val="10"/>
      <color rgb="FFFF0000"/>
      <name val="Phetsarath OT"/>
    </font>
    <font>
      <b/>
      <sz val="12"/>
      <color rgb="FFFF0000"/>
      <name val="Phetsarath OT"/>
    </font>
    <font>
      <sz val="6"/>
      <name val="游ゴシック"/>
      <family val="3"/>
      <charset val="128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rgb="FF000000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0" fillId="0" borderId="0"/>
    <xf numFmtId="0" fontId="20" fillId="0" borderId="0"/>
    <xf numFmtId="0" fontId="21" fillId="0" borderId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0" fontId="34" fillId="0" borderId="0" applyNumberFormat="0" applyFill="0" applyBorder="0" applyAlignment="0" applyProtection="0"/>
  </cellStyleXfs>
  <cellXfs count="319">
    <xf numFmtId="0" fontId="0" fillId="0" borderId="0" xfId="0"/>
    <xf numFmtId="0" fontId="2" fillId="0" borderId="0" xfId="0" applyFont="1" applyAlignment="1">
      <alignment vertical="center"/>
    </xf>
    <xf numFmtId="176" fontId="5" fillId="0" borderId="0" xfId="1" applyNumberFormat="1" applyFont="1" applyFill="1" applyAlignment="1">
      <alignment vertical="center"/>
    </xf>
    <xf numFmtId="0" fontId="5" fillId="0" borderId="0" xfId="1" applyNumberFormat="1" applyFont="1" applyFill="1" applyAlignment="1">
      <alignment vertical="center"/>
    </xf>
    <xf numFmtId="41" fontId="5" fillId="0" borderId="0" xfId="2" applyFont="1" applyFill="1" applyAlignment="1">
      <alignment vertical="center"/>
    </xf>
    <xf numFmtId="177" fontId="5" fillId="0" borderId="0" xfId="2" applyNumberFormat="1" applyFont="1" applyFill="1" applyAlignment="1">
      <alignment vertical="center"/>
    </xf>
    <xf numFmtId="49" fontId="7" fillId="0" borderId="0" xfId="0" applyNumberFormat="1" applyFont="1" applyAlignment="1">
      <alignment horizontal="center" vertical="center"/>
    </xf>
    <xf numFmtId="41" fontId="2" fillId="0" borderId="0" xfId="2" applyFont="1" applyFill="1" applyAlignment="1">
      <alignment horizontal="right"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176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177" fontId="2" fillId="0" borderId="0" xfId="2" applyNumberFormat="1" applyFont="1" applyFill="1" applyAlignment="1">
      <alignment vertical="center"/>
    </xf>
    <xf numFmtId="41" fontId="2" fillId="0" borderId="0" xfId="2" applyFont="1" applyFill="1" applyAlignment="1">
      <alignment vertical="center"/>
    </xf>
    <xf numFmtId="0" fontId="2" fillId="0" borderId="1" xfId="0" applyFont="1" applyBorder="1" applyAlignment="1">
      <alignment vertical="center"/>
    </xf>
    <xf numFmtId="0" fontId="9" fillId="0" borderId="0" xfId="0" applyFont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41" fontId="7" fillId="0" borderId="0" xfId="2" applyFont="1" applyFill="1" applyAlignment="1">
      <alignment horizontal="center" vertical="center"/>
    </xf>
    <xf numFmtId="41" fontId="7" fillId="0" borderId="0" xfId="2" applyFont="1" applyFill="1" applyAlignment="1">
      <alignment vertical="center"/>
    </xf>
    <xf numFmtId="178" fontId="7" fillId="0" borderId="0" xfId="1" applyNumberFormat="1" applyFont="1" applyFill="1" applyAlignment="1">
      <alignment vertical="center"/>
    </xf>
    <xf numFmtId="0" fontId="11" fillId="0" borderId="0" xfId="0" applyFont="1" applyAlignment="1">
      <alignment horizontal="left" vertical="center"/>
    </xf>
    <xf numFmtId="49" fontId="11" fillId="0" borderId="0" xfId="0" applyNumberFormat="1" applyFont="1" applyAlignment="1">
      <alignment horizontal="center" vertical="center"/>
    </xf>
    <xf numFmtId="176" fontId="11" fillId="0" borderId="0" xfId="0" applyNumberFormat="1" applyFont="1" applyAlignment="1">
      <alignment horizontal="center" vertical="center"/>
    </xf>
    <xf numFmtId="41" fontId="11" fillId="0" borderId="0" xfId="0" applyNumberFormat="1" applyFont="1" applyAlignment="1">
      <alignment vertical="center"/>
    </xf>
    <xf numFmtId="178" fontId="11" fillId="0" borderId="0" xfId="0" applyNumberFormat="1" applyFont="1" applyAlignment="1">
      <alignment vertical="center"/>
    </xf>
    <xf numFmtId="177" fontId="11" fillId="0" borderId="0" xfId="2" applyNumberFormat="1" applyFont="1" applyFill="1" applyBorder="1" applyAlignment="1">
      <alignment vertical="center"/>
    </xf>
    <xf numFmtId="0" fontId="2" fillId="0" borderId="0" xfId="0" applyFont="1" applyAlignment="1">
      <alignment horizontal="left" vertical="center"/>
    </xf>
    <xf numFmtId="49" fontId="5" fillId="0" borderId="0" xfId="1" applyNumberFormat="1" applyFont="1" applyFill="1" applyAlignment="1">
      <alignment horizontal="center" vertical="center"/>
    </xf>
    <xf numFmtId="49" fontId="5" fillId="0" borderId="0" xfId="1" applyNumberFormat="1" applyFont="1" applyFill="1" applyBorder="1" applyAlignment="1">
      <alignment vertical="center"/>
    </xf>
    <xf numFmtId="49" fontId="12" fillId="0" borderId="0" xfId="1" applyNumberFormat="1" applyFont="1" applyFill="1" applyAlignment="1">
      <alignment vertical="center"/>
    </xf>
    <xf numFmtId="179" fontId="5" fillId="0" borderId="0" xfId="2" applyNumberFormat="1" applyFont="1" applyFill="1" applyAlignment="1">
      <alignment vertical="center"/>
    </xf>
    <xf numFmtId="179" fontId="2" fillId="0" borderId="0" xfId="2" applyNumberFormat="1" applyFont="1" applyFill="1" applyAlignment="1">
      <alignment vertical="center"/>
    </xf>
    <xf numFmtId="0" fontId="9" fillId="3" borderId="0" xfId="0" applyFont="1" applyFill="1" applyAlignment="1">
      <alignment vertical="center"/>
    </xf>
    <xf numFmtId="0" fontId="13" fillId="3" borderId="0" xfId="0" applyFont="1" applyFill="1" applyAlignment="1">
      <alignment vertical="center"/>
    </xf>
    <xf numFmtId="179" fontId="7" fillId="0" borderId="0" xfId="2" applyNumberFormat="1" applyFont="1" applyFill="1" applyAlignment="1">
      <alignment horizontal="center" vertical="center"/>
    </xf>
    <xf numFmtId="49" fontId="15" fillId="0" borderId="0" xfId="1" applyNumberFormat="1" applyFont="1" applyFill="1" applyAlignment="1">
      <alignment vertical="center"/>
    </xf>
    <xf numFmtId="0" fontId="16" fillId="2" borderId="2" xfId="0" applyFont="1" applyFill="1" applyBorder="1" applyAlignment="1">
      <alignment horizontal="center" vertical="center" wrapText="1"/>
    </xf>
    <xf numFmtId="49" fontId="16" fillId="2" borderId="2" xfId="0" applyNumberFormat="1" applyFont="1" applyFill="1" applyBorder="1" applyAlignment="1">
      <alignment horizontal="center" vertical="center" wrapText="1"/>
    </xf>
    <xf numFmtId="176" fontId="16" fillId="2" borderId="2" xfId="0" applyNumberFormat="1" applyFont="1" applyFill="1" applyBorder="1" applyAlignment="1">
      <alignment horizontal="center" vertical="center" wrapText="1"/>
    </xf>
    <xf numFmtId="41" fontId="16" fillId="2" borderId="2" xfId="2" applyFont="1" applyFill="1" applyBorder="1" applyAlignment="1">
      <alignment horizontal="center" vertical="center" wrapText="1"/>
    </xf>
    <xf numFmtId="179" fontId="16" fillId="2" borderId="2" xfId="2" applyNumberFormat="1" applyFont="1" applyFill="1" applyBorder="1" applyAlignment="1">
      <alignment horizontal="center" vertical="center" wrapText="1"/>
    </xf>
    <xf numFmtId="177" fontId="16" fillId="2" borderId="2" xfId="2" applyNumberFormat="1" applyFont="1" applyFill="1" applyBorder="1" applyAlignment="1">
      <alignment horizontal="center" vertical="center" wrapText="1"/>
    </xf>
    <xf numFmtId="178" fontId="16" fillId="2" borderId="2" xfId="3" applyNumberFormat="1" applyFont="1" applyFill="1" applyBorder="1" applyAlignment="1">
      <alignment horizontal="center" vertical="center" wrapText="1"/>
    </xf>
    <xf numFmtId="178" fontId="16" fillId="2" borderId="2" xfId="1" applyNumberFormat="1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vertical="center"/>
    </xf>
    <xf numFmtId="0" fontId="14" fillId="3" borderId="4" xfId="0" applyFont="1" applyFill="1" applyBorder="1" applyAlignment="1">
      <alignment horizontal="center" vertical="center"/>
    </xf>
    <xf numFmtId="49" fontId="14" fillId="3" borderId="2" xfId="0" applyNumberFormat="1" applyFont="1" applyFill="1" applyBorder="1" applyAlignment="1">
      <alignment horizontal="center" vertical="center"/>
    </xf>
    <xf numFmtId="14" fontId="14" fillId="3" borderId="4" xfId="0" applyNumberFormat="1" applyFont="1" applyFill="1" applyBorder="1" applyAlignment="1">
      <alignment horizontal="center" vertical="center"/>
    </xf>
    <xf numFmtId="177" fontId="14" fillId="3" borderId="2" xfId="2" applyNumberFormat="1" applyFont="1" applyFill="1" applyBorder="1" applyAlignment="1">
      <alignment horizontal="center" vertical="center"/>
    </xf>
    <xf numFmtId="179" fontId="14" fillId="3" borderId="2" xfId="2" applyNumberFormat="1" applyFont="1" applyFill="1" applyBorder="1" applyAlignment="1">
      <alignment horizontal="center" vertical="center"/>
    </xf>
    <xf numFmtId="180" fontId="14" fillId="3" borderId="2" xfId="2" applyNumberFormat="1" applyFont="1" applyFill="1" applyBorder="1" applyAlignment="1">
      <alignment horizontal="center" vertical="center"/>
    </xf>
    <xf numFmtId="49" fontId="17" fillId="5" borderId="2" xfId="0" applyNumberFormat="1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vertical="center"/>
    </xf>
    <xf numFmtId="43" fontId="14" fillId="3" borderId="2" xfId="0" applyNumberFormat="1" applyFont="1" applyFill="1" applyBorder="1" applyAlignment="1">
      <alignment horizontal="center" vertical="center"/>
    </xf>
    <xf numFmtId="0" fontId="18" fillId="6" borderId="2" xfId="0" applyFont="1" applyFill="1" applyBorder="1" applyAlignment="1">
      <alignment vertical="center"/>
    </xf>
    <xf numFmtId="0" fontId="18" fillId="6" borderId="5" xfId="0" applyFont="1" applyFill="1" applyBorder="1" applyAlignment="1">
      <alignment vertical="center"/>
    </xf>
    <xf numFmtId="49" fontId="18" fillId="6" borderId="2" xfId="0" applyNumberFormat="1" applyFont="1" applyFill="1" applyBorder="1" applyAlignment="1">
      <alignment horizontal="center" vertical="center"/>
    </xf>
    <xf numFmtId="176" fontId="18" fillId="6" borderId="2" xfId="0" applyNumberFormat="1" applyFont="1" applyFill="1" applyBorder="1" applyAlignment="1">
      <alignment horizontal="center" vertical="center"/>
    </xf>
    <xf numFmtId="178" fontId="19" fillId="6" borderId="2" xfId="0" applyNumberFormat="1" applyFont="1" applyFill="1" applyBorder="1" applyAlignment="1">
      <alignment horizontal="center" vertical="center"/>
    </xf>
    <xf numFmtId="179" fontId="19" fillId="6" borderId="2" xfId="2" applyNumberFormat="1" applyFont="1" applyFill="1" applyBorder="1" applyAlignment="1">
      <alignment horizontal="center" vertical="center"/>
    </xf>
    <xf numFmtId="180" fontId="19" fillId="6" borderId="2" xfId="0" applyNumberFormat="1" applyFont="1" applyFill="1" applyBorder="1" applyAlignment="1">
      <alignment horizontal="center" vertical="center"/>
    </xf>
    <xf numFmtId="177" fontId="19" fillId="6" borderId="2" xfId="0" applyNumberFormat="1" applyFont="1" applyFill="1" applyBorder="1" applyAlignment="1">
      <alignment horizontal="center" vertical="center"/>
    </xf>
    <xf numFmtId="180" fontId="14" fillId="3" borderId="2" xfId="1" applyNumberFormat="1" applyFont="1" applyFill="1" applyBorder="1" applyAlignment="1">
      <alignment vertical="center"/>
    </xf>
    <xf numFmtId="0" fontId="22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49" fontId="22" fillId="0" borderId="0" xfId="0" applyNumberFormat="1" applyFont="1" applyAlignment="1">
      <alignment horizontal="center" vertical="center"/>
    </xf>
    <xf numFmtId="176" fontId="22" fillId="0" borderId="0" xfId="0" applyNumberFormat="1" applyFont="1" applyAlignment="1">
      <alignment horizontal="center" vertical="center"/>
    </xf>
    <xf numFmtId="41" fontId="22" fillId="0" borderId="0" xfId="2" applyFont="1" applyFill="1" applyAlignment="1">
      <alignment horizontal="center" vertical="center"/>
    </xf>
    <xf numFmtId="14" fontId="22" fillId="0" borderId="0" xfId="2" applyNumberFormat="1" applyFont="1" applyFill="1" applyAlignment="1">
      <alignment horizontal="center" vertical="center"/>
    </xf>
    <xf numFmtId="41" fontId="22" fillId="0" borderId="0" xfId="2" applyFont="1" applyFill="1" applyAlignment="1">
      <alignment vertical="center"/>
    </xf>
    <xf numFmtId="0" fontId="23" fillId="0" borderId="0" xfId="1" applyNumberFormat="1" applyFont="1" applyFill="1" applyAlignment="1">
      <alignment vertical="center"/>
    </xf>
    <xf numFmtId="49" fontId="23" fillId="0" borderId="0" xfId="1" applyNumberFormat="1" applyFont="1" applyFill="1" applyAlignment="1">
      <alignment horizontal="center" vertical="center"/>
    </xf>
    <xf numFmtId="49" fontId="23" fillId="0" borderId="0" xfId="1" applyNumberFormat="1" applyFont="1" applyFill="1" applyBorder="1" applyAlignment="1">
      <alignment vertical="center"/>
    </xf>
    <xf numFmtId="176" fontId="23" fillId="0" borderId="0" xfId="1" applyNumberFormat="1" applyFont="1" applyFill="1" applyAlignment="1">
      <alignment vertical="center"/>
    </xf>
    <xf numFmtId="49" fontId="23" fillId="0" borderId="0" xfId="1" applyNumberFormat="1" applyFont="1" applyFill="1" applyAlignment="1">
      <alignment vertical="center"/>
    </xf>
    <xf numFmtId="41" fontId="23" fillId="0" borderId="0" xfId="2" applyFont="1" applyFill="1" applyAlignment="1">
      <alignment horizontal="center" vertical="center"/>
    </xf>
    <xf numFmtId="14" fontId="23" fillId="0" borderId="0" xfId="2" applyNumberFormat="1" applyFont="1" applyFill="1" applyAlignment="1">
      <alignment horizontal="center" vertical="center"/>
    </xf>
    <xf numFmtId="0" fontId="24" fillId="0" borderId="0" xfId="0" applyFont="1" applyAlignment="1">
      <alignment vertical="center"/>
    </xf>
    <xf numFmtId="0" fontId="22" fillId="0" borderId="1" xfId="0" applyFont="1" applyBorder="1" applyAlignment="1">
      <alignment vertical="center"/>
    </xf>
    <xf numFmtId="0" fontId="25" fillId="0" borderId="0" xfId="0" applyFont="1" applyAlignment="1">
      <alignment horizontal="center" vertical="center" wrapText="1"/>
    </xf>
    <xf numFmtId="14" fontId="25" fillId="2" borderId="2" xfId="2" applyNumberFormat="1" applyFont="1" applyFill="1" applyBorder="1" applyAlignment="1">
      <alignment horizontal="center" vertical="center" wrapText="1"/>
    </xf>
    <xf numFmtId="41" fontId="25" fillId="2" borderId="2" xfId="2" applyFont="1" applyFill="1" applyBorder="1" applyAlignment="1">
      <alignment horizontal="center" vertical="center" wrapText="1"/>
    </xf>
    <xf numFmtId="0" fontId="22" fillId="3" borderId="2" xfId="0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vertical="center"/>
    </xf>
    <xf numFmtId="0" fontId="22" fillId="3" borderId="4" xfId="0" applyFont="1" applyFill="1" applyBorder="1" applyAlignment="1">
      <alignment horizontal="center" vertical="center"/>
    </xf>
    <xf numFmtId="14" fontId="22" fillId="3" borderId="4" xfId="0" applyNumberFormat="1" applyFont="1" applyFill="1" applyBorder="1" applyAlignment="1">
      <alignment horizontal="center" vertical="center"/>
    </xf>
    <xf numFmtId="49" fontId="22" fillId="3" borderId="2" xfId="0" applyNumberFormat="1" applyFont="1" applyFill="1" applyBorder="1" applyAlignment="1">
      <alignment horizontal="center" vertical="center"/>
    </xf>
    <xf numFmtId="41" fontId="22" fillId="3" borderId="2" xfId="2" applyFont="1" applyFill="1" applyBorder="1" applyAlignment="1">
      <alignment horizontal="center" vertical="center"/>
    </xf>
    <xf numFmtId="14" fontId="22" fillId="3" borderId="2" xfId="2" applyNumberFormat="1" applyFont="1" applyFill="1" applyBorder="1" applyAlignment="1">
      <alignment horizontal="center" vertical="center"/>
    </xf>
    <xf numFmtId="177" fontId="22" fillId="3" borderId="2" xfId="2" applyNumberFormat="1" applyFont="1" applyFill="1" applyBorder="1" applyAlignment="1">
      <alignment horizontal="center" vertical="center"/>
    </xf>
    <xf numFmtId="178" fontId="22" fillId="3" borderId="2" xfId="1" applyNumberFormat="1" applyFont="1" applyFill="1" applyBorder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0" fontId="26" fillId="2" borderId="2" xfId="0" applyFont="1" applyFill="1" applyBorder="1" applyAlignment="1">
      <alignment vertical="center"/>
    </xf>
    <xf numFmtId="0" fontId="26" fillId="2" borderId="5" xfId="0" applyFont="1" applyFill="1" applyBorder="1" applyAlignment="1">
      <alignment vertical="center"/>
    </xf>
    <xf numFmtId="49" fontId="26" fillId="2" borderId="2" xfId="0" applyNumberFormat="1" applyFont="1" applyFill="1" applyBorder="1" applyAlignment="1">
      <alignment horizontal="center" vertical="center"/>
    </xf>
    <xf numFmtId="176" fontId="26" fillId="2" borderId="2" xfId="0" applyNumberFormat="1" applyFont="1" applyFill="1" applyBorder="1" applyAlignment="1">
      <alignment horizontal="center" vertical="center"/>
    </xf>
    <xf numFmtId="178" fontId="27" fillId="2" borderId="2" xfId="0" applyNumberFormat="1" applyFont="1" applyFill="1" applyBorder="1" applyAlignment="1">
      <alignment horizontal="center" vertical="center"/>
    </xf>
    <xf numFmtId="14" fontId="27" fillId="2" borderId="2" xfId="0" applyNumberFormat="1" applyFont="1" applyFill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24" fillId="0" borderId="0" xfId="0" applyFont="1" applyAlignment="1">
      <alignment horizontal="left" vertical="center"/>
    </xf>
    <xf numFmtId="49" fontId="24" fillId="0" borderId="0" xfId="0" applyNumberFormat="1" applyFont="1" applyAlignment="1">
      <alignment horizontal="center" vertical="center"/>
    </xf>
    <xf numFmtId="176" fontId="24" fillId="0" borderId="0" xfId="0" applyNumberFormat="1" applyFont="1" applyAlignment="1">
      <alignment horizontal="center" vertical="center"/>
    </xf>
    <xf numFmtId="178" fontId="27" fillId="0" borderId="0" xfId="0" applyNumberFormat="1" applyFont="1" applyAlignment="1">
      <alignment horizontal="center" vertical="center"/>
    </xf>
    <xf numFmtId="14" fontId="27" fillId="0" borderId="0" xfId="0" applyNumberFormat="1" applyFont="1" applyAlignment="1">
      <alignment horizontal="center" vertical="center"/>
    </xf>
    <xf numFmtId="178" fontId="22" fillId="0" borderId="0" xfId="1" applyNumberFormat="1" applyFont="1" applyFill="1" applyAlignment="1">
      <alignment vertical="center"/>
    </xf>
    <xf numFmtId="14" fontId="22" fillId="0" borderId="0" xfId="0" applyNumberFormat="1" applyFont="1" applyAlignment="1">
      <alignment horizontal="center" vertical="center"/>
    </xf>
    <xf numFmtId="178" fontId="22" fillId="3" borderId="0" xfId="0" applyNumberFormat="1" applyFont="1" applyFill="1" applyAlignment="1">
      <alignment horizontal="center" vertical="center"/>
    </xf>
    <xf numFmtId="177" fontId="22" fillId="3" borderId="0" xfId="2" applyNumberFormat="1" applyFont="1" applyFill="1" applyAlignment="1">
      <alignment vertical="center"/>
    </xf>
    <xf numFmtId="177" fontId="22" fillId="0" borderId="0" xfId="2" applyNumberFormat="1" applyFont="1" applyFill="1" applyAlignment="1">
      <alignment horizontal="center" vertical="center"/>
    </xf>
    <xf numFmtId="177" fontId="23" fillId="0" borderId="0" xfId="2" applyNumberFormat="1" applyFont="1" applyFill="1" applyAlignment="1">
      <alignment horizontal="center" vertical="center"/>
    </xf>
    <xf numFmtId="177" fontId="27" fillId="2" borderId="2" xfId="0" applyNumberFormat="1" applyFont="1" applyFill="1" applyBorder="1" applyAlignment="1">
      <alignment horizontal="center" vertical="center"/>
    </xf>
    <xf numFmtId="177" fontId="22" fillId="0" borderId="0" xfId="0" applyNumberFormat="1" applyFont="1" applyAlignment="1">
      <alignment horizontal="center" vertical="center"/>
    </xf>
    <xf numFmtId="43" fontId="22" fillId="3" borderId="0" xfId="0" applyNumberFormat="1" applyFont="1" applyFill="1" applyAlignment="1">
      <alignment vertical="center"/>
    </xf>
    <xf numFmtId="177" fontId="14" fillId="3" borderId="2" xfId="1" applyNumberFormat="1" applyFont="1" applyFill="1" applyBorder="1" applyAlignment="1">
      <alignment horizontal="center" vertical="center"/>
    </xf>
    <xf numFmtId="0" fontId="22" fillId="4" borderId="4" xfId="0" applyFont="1" applyFill="1" applyBorder="1" applyAlignment="1">
      <alignment horizontal="center" vertical="center"/>
    </xf>
    <xf numFmtId="49" fontId="22" fillId="5" borderId="2" xfId="0" applyNumberFormat="1" applyFont="1" applyFill="1" applyBorder="1" applyAlignment="1">
      <alignment horizontal="center" vertical="center"/>
    </xf>
    <xf numFmtId="176" fontId="28" fillId="0" borderId="0" xfId="1" applyNumberFormat="1" applyFont="1" applyFill="1" applyAlignment="1">
      <alignment vertical="center"/>
    </xf>
    <xf numFmtId="0" fontId="29" fillId="0" borderId="0" xfId="0" applyFont="1" applyAlignment="1">
      <alignment vertical="center"/>
    </xf>
    <xf numFmtId="0" fontId="30" fillId="0" borderId="0" xfId="0" applyFont="1" applyAlignment="1">
      <alignment horizontal="left" vertical="center"/>
    </xf>
    <xf numFmtId="49" fontId="31" fillId="0" borderId="0" xfId="1" applyNumberFormat="1" applyFont="1" applyFill="1" applyAlignment="1">
      <alignment vertical="center"/>
    </xf>
    <xf numFmtId="0" fontId="31" fillId="0" borderId="0" xfId="1" applyNumberFormat="1" applyFont="1" applyFill="1" applyAlignment="1">
      <alignment vertical="center"/>
    </xf>
    <xf numFmtId="0" fontId="32" fillId="4" borderId="4" xfId="0" applyFont="1" applyFill="1" applyBorder="1" applyAlignment="1">
      <alignment horizontal="center" vertical="center"/>
    </xf>
    <xf numFmtId="0" fontId="14" fillId="3" borderId="2" xfId="10" applyFont="1" applyFill="1" applyBorder="1" applyAlignment="1">
      <alignment horizontal="left" vertical="center"/>
    </xf>
    <xf numFmtId="0" fontId="32" fillId="4" borderId="2" xfId="0" applyFont="1" applyFill="1" applyBorder="1" applyAlignment="1">
      <alignment horizontal="center" vertical="center"/>
    </xf>
    <xf numFmtId="0" fontId="22" fillId="4" borderId="2" xfId="0" applyFont="1" applyFill="1" applyBorder="1" applyAlignment="1">
      <alignment horizontal="center" vertical="center"/>
    </xf>
    <xf numFmtId="43" fontId="22" fillId="3" borderId="2" xfId="2" applyNumberFormat="1" applyFont="1" applyFill="1" applyBorder="1" applyAlignment="1">
      <alignment horizontal="center" vertical="center"/>
    </xf>
    <xf numFmtId="43" fontId="22" fillId="3" borderId="2" xfId="1" applyFont="1" applyFill="1" applyBorder="1" applyAlignment="1">
      <alignment horizontal="center" vertical="center"/>
    </xf>
    <xf numFmtId="41" fontId="22" fillId="3" borderId="4" xfId="2" applyFont="1" applyFill="1" applyBorder="1" applyAlignment="1">
      <alignment horizontal="center" vertical="center"/>
    </xf>
    <xf numFmtId="180" fontId="14" fillId="3" borderId="6" xfId="1" applyNumberFormat="1" applyFont="1" applyFill="1" applyBorder="1" applyAlignment="1">
      <alignment vertical="center"/>
    </xf>
    <xf numFmtId="14" fontId="23" fillId="3" borderId="2" xfId="2" applyNumberFormat="1" applyFont="1" applyFill="1" applyBorder="1" applyAlignment="1">
      <alignment horizontal="center" vertical="center" wrapText="1"/>
    </xf>
    <xf numFmtId="41" fontId="23" fillId="3" borderId="2" xfId="2" applyFont="1" applyFill="1" applyBorder="1" applyAlignment="1">
      <alignment horizontal="center" vertical="center" wrapText="1"/>
    </xf>
    <xf numFmtId="0" fontId="14" fillId="7" borderId="4" xfId="0" applyFont="1" applyFill="1" applyBorder="1" applyAlignment="1">
      <alignment vertical="center"/>
    </xf>
    <xf numFmtId="0" fontId="14" fillId="7" borderId="4" xfId="0" applyFont="1" applyFill="1" applyBorder="1" applyAlignment="1">
      <alignment horizontal="center" vertical="center"/>
    </xf>
    <xf numFmtId="49" fontId="14" fillId="7" borderId="2" xfId="0" applyNumberFormat="1" applyFont="1" applyFill="1" applyBorder="1" applyAlignment="1">
      <alignment horizontal="center" vertical="center"/>
    </xf>
    <xf numFmtId="14" fontId="14" fillId="7" borderId="4" xfId="0" applyNumberFormat="1" applyFont="1" applyFill="1" applyBorder="1" applyAlignment="1">
      <alignment horizontal="center" vertical="center"/>
    </xf>
    <xf numFmtId="177" fontId="14" fillId="7" borderId="2" xfId="2" applyNumberFormat="1" applyFont="1" applyFill="1" applyBorder="1" applyAlignment="1">
      <alignment horizontal="center" vertical="center"/>
    </xf>
    <xf numFmtId="43" fontId="14" fillId="7" borderId="2" xfId="0" applyNumberFormat="1" applyFont="1" applyFill="1" applyBorder="1" applyAlignment="1">
      <alignment horizontal="center" vertical="center"/>
    </xf>
    <xf numFmtId="179" fontId="14" fillId="7" borderId="2" xfId="2" applyNumberFormat="1" applyFont="1" applyFill="1" applyBorder="1" applyAlignment="1">
      <alignment horizontal="center" vertical="center"/>
    </xf>
    <xf numFmtId="180" fontId="14" fillId="7" borderId="2" xfId="2" applyNumberFormat="1" applyFont="1" applyFill="1" applyBorder="1" applyAlignment="1">
      <alignment horizontal="center" vertical="center"/>
    </xf>
    <xf numFmtId="180" fontId="14" fillId="7" borderId="2" xfId="1" applyNumberFormat="1" applyFont="1" applyFill="1" applyBorder="1" applyAlignment="1">
      <alignment horizontal="center" vertical="center"/>
    </xf>
    <xf numFmtId="177" fontId="14" fillId="7" borderId="2" xfId="1" applyNumberFormat="1" applyFont="1" applyFill="1" applyBorder="1" applyAlignment="1">
      <alignment horizontal="center" vertical="center"/>
    </xf>
    <xf numFmtId="0" fontId="14" fillId="9" borderId="3" xfId="0" applyFont="1" applyFill="1" applyBorder="1" applyAlignment="1">
      <alignment vertical="center"/>
    </xf>
    <xf numFmtId="0" fontId="14" fillId="9" borderId="4" xfId="0" applyFont="1" applyFill="1" applyBorder="1" applyAlignment="1">
      <alignment vertical="center"/>
    </xf>
    <xf numFmtId="0" fontId="14" fillId="9" borderId="4" xfId="0" applyFont="1" applyFill="1" applyBorder="1" applyAlignment="1">
      <alignment horizontal="center" vertical="center"/>
    </xf>
    <xf numFmtId="49" fontId="14" fillId="9" borderId="2" xfId="0" applyNumberFormat="1" applyFont="1" applyFill="1" applyBorder="1" applyAlignment="1">
      <alignment horizontal="center" vertical="center"/>
    </xf>
    <xf numFmtId="14" fontId="14" fillId="9" borderId="4" xfId="0" applyNumberFormat="1" applyFont="1" applyFill="1" applyBorder="1" applyAlignment="1">
      <alignment horizontal="center" vertical="center"/>
    </xf>
    <xf numFmtId="177" fontId="14" fillId="9" borderId="2" xfId="2" applyNumberFormat="1" applyFont="1" applyFill="1" applyBorder="1" applyAlignment="1">
      <alignment horizontal="center" vertical="center"/>
    </xf>
    <xf numFmtId="43" fontId="14" fillId="9" borderId="2" xfId="0" applyNumberFormat="1" applyFont="1" applyFill="1" applyBorder="1" applyAlignment="1">
      <alignment horizontal="center" vertical="center"/>
    </xf>
    <xf numFmtId="179" fontId="14" fillId="9" borderId="2" xfId="2" applyNumberFormat="1" applyFont="1" applyFill="1" applyBorder="1" applyAlignment="1">
      <alignment horizontal="center" vertical="center"/>
    </xf>
    <xf numFmtId="180" fontId="14" fillId="9" borderId="2" xfId="2" applyNumberFormat="1" applyFont="1" applyFill="1" applyBorder="1" applyAlignment="1">
      <alignment horizontal="center" vertical="center"/>
    </xf>
    <xf numFmtId="180" fontId="14" fillId="9" borderId="2" xfId="1" applyNumberFormat="1" applyFont="1" applyFill="1" applyBorder="1" applyAlignment="1">
      <alignment horizontal="center" vertical="center"/>
    </xf>
    <xf numFmtId="177" fontId="14" fillId="9" borderId="2" xfId="1" applyNumberFormat="1" applyFont="1" applyFill="1" applyBorder="1" applyAlignment="1">
      <alignment horizontal="center" vertical="center"/>
    </xf>
    <xf numFmtId="0" fontId="35" fillId="0" borderId="2" xfId="10" applyFont="1" applyBorder="1" applyAlignment="1">
      <alignment horizontal="left" vertical="center"/>
    </xf>
    <xf numFmtId="0" fontId="14" fillId="7" borderId="3" xfId="0" applyFont="1" applyFill="1" applyBorder="1" applyAlignment="1">
      <alignment vertical="center"/>
    </xf>
    <xf numFmtId="0" fontId="14" fillId="11" borderId="4" xfId="0" applyFont="1" applyFill="1" applyBorder="1" applyAlignment="1">
      <alignment vertical="center"/>
    </xf>
    <xf numFmtId="0" fontId="14" fillId="11" borderId="4" xfId="0" applyFont="1" applyFill="1" applyBorder="1" applyAlignment="1">
      <alignment horizontal="center" vertical="center"/>
    </xf>
    <xf numFmtId="49" fontId="14" fillId="11" borderId="2" xfId="0" applyNumberFormat="1" applyFont="1" applyFill="1" applyBorder="1" applyAlignment="1">
      <alignment horizontal="center" vertical="center"/>
    </xf>
    <xf numFmtId="14" fontId="14" fillId="11" borderId="4" xfId="0" applyNumberFormat="1" applyFont="1" applyFill="1" applyBorder="1" applyAlignment="1">
      <alignment horizontal="center" vertical="center"/>
    </xf>
    <xf numFmtId="49" fontId="17" fillId="12" borderId="2" xfId="0" applyNumberFormat="1" applyFont="1" applyFill="1" applyBorder="1" applyAlignment="1">
      <alignment horizontal="center" vertical="center"/>
    </xf>
    <xf numFmtId="43" fontId="14" fillId="11" borderId="2" xfId="0" applyNumberFormat="1" applyFont="1" applyFill="1" applyBorder="1" applyAlignment="1">
      <alignment horizontal="center" vertical="center"/>
    </xf>
    <xf numFmtId="179" fontId="14" fillId="11" borderId="2" xfId="2" applyNumberFormat="1" applyFont="1" applyFill="1" applyBorder="1" applyAlignment="1">
      <alignment horizontal="center" vertical="center"/>
    </xf>
    <xf numFmtId="180" fontId="14" fillId="11" borderId="2" xfId="2" applyNumberFormat="1" applyFont="1" applyFill="1" applyBorder="1" applyAlignment="1">
      <alignment horizontal="center" vertical="center"/>
    </xf>
    <xf numFmtId="180" fontId="14" fillId="11" borderId="2" xfId="1" applyNumberFormat="1" applyFont="1" applyFill="1" applyBorder="1" applyAlignment="1">
      <alignment horizontal="center" vertical="center"/>
    </xf>
    <xf numFmtId="177" fontId="14" fillId="11" borderId="2" xfId="1" applyNumberFormat="1" applyFont="1" applyFill="1" applyBorder="1" applyAlignment="1">
      <alignment horizontal="center" vertical="center"/>
    </xf>
    <xf numFmtId="0" fontId="14" fillId="11" borderId="3" xfId="0" applyFont="1" applyFill="1" applyBorder="1" applyAlignment="1">
      <alignment vertical="center"/>
    </xf>
    <xf numFmtId="180" fontId="14" fillId="3" borderId="6" xfId="1" applyNumberFormat="1" applyFont="1" applyFill="1" applyBorder="1" applyAlignment="1">
      <alignment horizontal="center" vertical="center"/>
    </xf>
    <xf numFmtId="180" fontId="14" fillId="3" borderId="2" xfId="1" applyNumberFormat="1" applyFont="1" applyFill="1" applyBorder="1" applyAlignment="1">
      <alignment horizontal="center" vertical="center"/>
    </xf>
    <xf numFmtId="0" fontId="14" fillId="13" borderId="4" xfId="0" applyFont="1" applyFill="1" applyBorder="1" applyAlignment="1">
      <alignment vertical="center"/>
    </xf>
    <xf numFmtId="0" fontId="14" fillId="13" borderId="4" xfId="0" applyFont="1" applyFill="1" applyBorder="1" applyAlignment="1">
      <alignment horizontal="center" vertical="center"/>
    </xf>
    <xf numFmtId="49" fontId="14" fillId="13" borderId="2" xfId="0" applyNumberFormat="1" applyFont="1" applyFill="1" applyBorder="1" applyAlignment="1">
      <alignment horizontal="center" vertical="center"/>
    </xf>
    <xf numFmtId="14" fontId="14" fillId="13" borderId="4" xfId="0" applyNumberFormat="1" applyFont="1" applyFill="1" applyBorder="1" applyAlignment="1">
      <alignment horizontal="center" vertical="center"/>
    </xf>
    <xf numFmtId="49" fontId="17" fillId="14" borderId="2" xfId="0" applyNumberFormat="1" applyFont="1" applyFill="1" applyBorder="1" applyAlignment="1">
      <alignment horizontal="center" vertical="center"/>
    </xf>
    <xf numFmtId="177" fontId="14" fillId="13" borderId="2" xfId="2" applyNumberFormat="1" applyFont="1" applyFill="1" applyBorder="1" applyAlignment="1">
      <alignment horizontal="center" vertical="center"/>
    </xf>
    <xf numFmtId="43" fontId="14" fillId="13" borderId="2" xfId="0" applyNumberFormat="1" applyFont="1" applyFill="1" applyBorder="1" applyAlignment="1">
      <alignment horizontal="center" vertical="center"/>
    </xf>
    <xf numFmtId="179" fontId="14" fillId="13" borderId="2" xfId="2" applyNumberFormat="1" applyFont="1" applyFill="1" applyBorder="1" applyAlignment="1">
      <alignment horizontal="center" vertical="center"/>
    </xf>
    <xf numFmtId="180" fontId="14" fillId="13" borderId="2" xfId="2" applyNumberFormat="1" applyFont="1" applyFill="1" applyBorder="1" applyAlignment="1">
      <alignment horizontal="center" vertical="center"/>
    </xf>
    <xf numFmtId="180" fontId="14" fillId="13" borderId="2" xfId="1" applyNumberFormat="1" applyFont="1" applyFill="1" applyBorder="1" applyAlignment="1">
      <alignment horizontal="center" vertical="center"/>
    </xf>
    <xf numFmtId="177" fontId="14" fillId="13" borderId="2" xfId="1" applyNumberFormat="1" applyFont="1" applyFill="1" applyBorder="1" applyAlignment="1">
      <alignment horizontal="center" vertical="center"/>
    </xf>
    <xf numFmtId="0" fontId="14" fillId="15" borderId="3" xfId="0" applyFont="1" applyFill="1" applyBorder="1" applyAlignment="1">
      <alignment vertical="center"/>
    </xf>
    <xf numFmtId="0" fontId="14" fillId="15" borderId="4" xfId="0" applyFont="1" applyFill="1" applyBorder="1" applyAlignment="1">
      <alignment vertical="center"/>
    </xf>
    <xf numFmtId="0" fontId="14" fillId="15" borderId="4" xfId="0" applyFont="1" applyFill="1" applyBorder="1" applyAlignment="1">
      <alignment horizontal="center" vertical="center"/>
    </xf>
    <xf numFmtId="49" fontId="14" fillId="15" borderId="2" xfId="0" applyNumberFormat="1" applyFont="1" applyFill="1" applyBorder="1" applyAlignment="1">
      <alignment horizontal="center" vertical="center"/>
    </xf>
    <xf numFmtId="14" fontId="14" fillId="15" borderId="4" xfId="0" applyNumberFormat="1" applyFont="1" applyFill="1" applyBorder="1" applyAlignment="1">
      <alignment horizontal="center" vertical="center"/>
    </xf>
    <xf numFmtId="177" fontId="14" fillId="15" borderId="2" xfId="2" applyNumberFormat="1" applyFont="1" applyFill="1" applyBorder="1" applyAlignment="1">
      <alignment horizontal="center" vertical="center"/>
    </xf>
    <xf numFmtId="43" fontId="14" fillId="15" borderId="2" xfId="0" applyNumberFormat="1" applyFont="1" applyFill="1" applyBorder="1" applyAlignment="1">
      <alignment horizontal="center" vertical="center"/>
    </xf>
    <xf numFmtId="179" fontId="14" fillId="15" borderId="2" xfId="2" applyNumberFormat="1" applyFont="1" applyFill="1" applyBorder="1" applyAlignment="1">
      <alignment horizontal="center" vertical="center"/>
    </xf>
    <xf numFmtId="180" fontId="14" fillId="15" borderId="2" xfId="2" applyNumberFormat="1" applyFont="1" applyFill="1" applyBorder="1" applyAlignment="1">
      <alignment horizontal="center" vertical="center"/>
    </xf>
    <xf numFmtId="180" fontId="14" fillId="15" borderId="2" xfId="1" applyNumberFormat="1" applyFont="1" applyFill="1" applyBorder="1" applyAlignment="1">
      <alignment horizontal="center" vertical="center"/>
    </xf>
    <xf numFmtId="177" fontId="14" fillId="15" borderId="2" xfId="1" applyNumberFormat="1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49" fontId="14" fillId="5" borderId="2" xfId="0" applyNumberFormat="1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vertical="center"/>
    </xf>
    <xf numFmtId="49" fontId="14" fillId="16" borderId="2" xfId="0" applyNumberFormat="1" applyFont="1" applyFill="1" applyBorder="1" applyAlignment="1">
      <alignment horizontal="center" vertical="center"/>
    </xf>
    <xf numFmtId="49" fontId="14" fillId="8" borderId="2" xfId="0" applyNumberFormat="1" applyFont="1" applyFill="1" applyBorder="1" applyAlignment="1">
      <alignment horizontal="center" vertical="center"/>
    </xf>
    <xf numFmtId="177" fontId="33" fillId="11" borderId="2" xfId="2" applyNumberFormat="1" applyFont="1" applyFill="1" applyBorder="1" applyAlignment="1">
      <alignment horizontal="center" vertical="center"/>
    </xf>
    <xf numFmtId="49" fontId="17" fillId="10" borderId="2" xfId="0" applyNumberFormat="1" applyFont="1" applyFill="1" applyBorder="1" applyAlignment="1">
      <alignment horizontal="center" vertical="center"/>
    </xf>
    <xf numFmtId="0" fontId="22" fillId="0" borderId="0" xfId="10" applyFont="1" applyAlignment="1">
      <alignment vertical="center"/>
    </xf>
    <xf numFmtId="0" fontId="36" fillId="0" borderId="2" xfId="10" applyFont="1" applyBorder="1" applyAlignment="1">
      <alignment vertical="center"/>
    </xf>
    <xf numFmtId="0" fontId="14" fillId="17" borderId="2" xfId="0" applyFont="1" applyFill="1" applyBorder="1" applyAlignment="1">
      <alignment vertical="center"/>
    </xf>
    <xf numFmtId="0" fontId="14" fillId="17" borderId="4" xfId="0" applyFont="1" applyFill="1" applyBorder="1" applyAlignment="1">
      <alignment vertical="center"/>
    </xf>
    <xf numFmtId="0" fontId="14" fillId="18" borderId="4" xfId="0" applyFont="1" applyFill="1" applyBorder="1" applyAlignment="1">
      <alignment horizontal="center" vertical="center"/>
    </xf>
    <xf numFmtId="0" fontId="14" fillId="17" borderId="4" xfId="0" applyFont="1" applyFill="1" applyBorder="1" applyAlignment="1">
      <alignment horizontal="center" vertical="center"/>
    </xf>
    <xf numFmtId="49" fontId="14" fillId="17" borderId="2" xfId="0" applyNumberFormat="1" applyFont="1" applyFill="1" applyBorder="1" applyAlignment="1">
      <alignment horizontal="center" vertical="center"/>
    </xf>
    <xf numFmtId="14" fontId="14" fillId="17" borderId="4" xfId="0" applyNumberFormat="1" applyFont="1" applyFill="1" applyBorder="1" applyAlignment="1">
      <alignment horizontal="center" vertical="center"/>
    </xf>
    <xf numFmtId="49" fontId="17" fillId="18" borderId="2" xfId="0" applyNumberFormat="1" applyFont="1" applyFill="1" applyBorder="1" applyAlignment="1">
      <alignment horizontal="center" vertical="center"/>
    </xf>
    <xf numFmtId="177" fontId="14" fillId="17" borderId="2" xfId="2" applyNumberFormat="1" applyFont="1" applyFill="1" applyBorder="1" applyAlignment="1">
      <alignment horizontal="center" vertical="center"/>
    </xf>
    <xf numFmtId="43" fontId="14" fillId="17" borderId="2" xfId="0" applyNumberFormat="1" applyFont="1" applyFill="1" applyBorder="1" applyAlignment="1">
      <alignment horizontal="center" vertical="center"/>
    </xf>
    <xf numFmtId="179" fontId="14" fillId="17" borderId="2" xfId="2" applyNumberFormat="1" applyFont="1" applyFill="1" applyBorder="1" applyAlignment="1">
      <alignment horizontal="center" vertical="center"/>
    </xf>
    <xf numFmtId="180" fontId="14" fillId="17" borderId="2" xfId="2" applyNumberFormat="1" applyFont="1" applyFill="1" applyBorder="1" applyAlignment="1">
      <alignment horizontal="center" vertical="center"/>
    </xf>
    <xf numFmtId="180" fontId="14" fillId="17" borderId="2" xfId="1" applyNumberFormat="1" applyFont="1" applyFill="1" applyBorder="1" applyAlignment="1">
      <alignment horizontal="center" vertical="center"/>
    </xf>
    <xf numFmtId="177" fontId="14" fillId="17" borderId="2" xfId="1" applyNumberFormat="1" applyFont="1" applyFill="1" applyBorder="1" applyAlignment="1">
      <alignment horizontal="center" vertical="center"/>
    </xf>
    <xf numFmtId="49" fontId="17" fillId="8" borderId="2" xfId="0" applyNumberFormat="1" applyFont="1" applyFill="1" applyBorder="1" applyAlignment="1">
      <alignment horizontal="center" vertical="center"/>
    </xf>
    <xf numFmtId="0" fontId="22" fillId="0" borderId="2" xfId="10" applyFont="1" applyBorder="1" applyAlignment="1">
      <alignment vertical="center"/>
    </xf>
    <xf numFmtId="0" fontId="14" fillId="19" borderId="4" xfId="0" applyFont="1" applyFill="1" applyBorder="1" applyAlignment="1">
      <alignment vertical="center"/>
    </xf>
    <xf numFmtId="0" fontId="14" fillId="19" borderId="4" xfId="0" applyFont="1" applyFill="1" applyBorder="1" applyAlignment="1">
      <alignment horizontal="center" vertical="center"/>
    </xf>
    <xf numFmtId="49" fontId="14" fillId="19" borderId="2" xfId="0" applyNumberFormat="1" applyFont="1" applyFill="1" applyBorder="1" applyAlignment="1">
      <alignment horizontal="center" vertical="center"/>
    </xf>
    <xf numFmtId="14" fontId="14" fillId="19" borderId="4" xfId="0" applyNumberFormat="1" applyFont="1" applyFill="1" applyBorder="1" applyAlignment="1">
      <alignment horizontal="center" vertical="center"/>
    </xf>
    <xf numFmtId="49" fontId="17" fillId="20" borderId="2" xfId="0" applyNumberFormat="1" applyFont="1" applyFill="1" applyBorder="1" applyAlignment="1">
      <alignment horizontal="center" vertical="center"/>
    </xf>
    <xf numFmtId="177" fontId="14" fillId="19" borderId="2" xfId="2" applyNumberFormat="1" applyFont="1" applyFill="1" applyBorder="1" applyAlignment="1">
      <alignment horizontal="center" vertical="center"/>
    </xf>
    <xf numFmtId="43" fontId="14" fillId="19" borderId="2" xfId="0" applyNumberFormat="1" applyFont="1" applyFill="1" applyBorder="1" applyAlignment="1">
      <alignment horizontal="center" vertical="center"/>
    </xf>
    <xf numFmtId="179" fontId="14" fillId="19" borderId="2" xfId="2" applyNumberFormat="1" applyFont="1" applyFill="1" applyBorder="1" applyAlignment="1">
      <alignment horizontal="center" vertical="center"/>
    </xf>
    <xf numFmtId="180" fontId="14" fillId="19" borderId="2" xfId="2" applyNumberFormat="1" applyFont="1" applyFill="1" applyBorder="1" applyAlignment="1">
      <alignment horizontal="center" vertical="center"/>
    </xf>
    <xf numFmtId="180" fontId="14" fillId="19" borderId="2" xfId="1" applyNumberFormat="1" applyFont="1" applyFill="1" applyBorder="1" applyAlignment="1">
      <alignment horizontal="center" vertical="center"/>
    </xf>
    <xf numFmtId="177" fontId="14" fillId="19" borderId="2" xfId="1" applyNumberFormat="1" applyFont="1" applyFill="1" applyBorder="1" applyAlignment="1">
      <alignment horizontal="center" vertical="center"/>
    </xf>
    <xf numFmtId="180" fontId="14" fillId="3" borderId="8" xfId="1" applyNumberFormat="1" applyFont="1" applyFill="1" applyBorder="1" applyAlignment="1">
      <alignment horizontal="center" vertical="center"/>
    </xf>
    <xf numFmtId="0" fontId="14" fillId="21" borderId="3" xfId="0" applyFont="1" applyFill="1" applyBorder="1" applyAlignment="1">
      <alignment vertical="center"/>
    </xf>
    <xf numFmtId="0" fontId="14" fillId="21" borderId="4" xfId="0" applyFont="1" applyFill="1" applyBorder="1" applyAlignment="1">
      <alignment vertical="center"/>
    </xf>
    <xf numFmtId="0" fontId="14" fillId="21" borderId="4" xfId="0" applyFont="1" applyFill="1" applyBorder="1" applyAlignment="1">
      <alignment horizontal="center" vertical="center"/>
    </xf>
    <xf numFmtId="49" fontId="14" fillId="21" borderId="2" xfId="0" applyNumberFormat="1" applyFont="1" applyFill="1" applyBorder="1" applyAlignment="1">
      <alignment horizontal="center" vertical="center"/>
    </xf>
    <xf numFmtId="14" fontId="14" fillId="21" borderId="4" xfId="0" applyNumberFormat="1" applyFont="1" applyFill="1" applyBorder="1" applyAlignment="1">
      <alignment horizontal="center" vertical="center"/>
    </xf>
    <xf numFmtId="49" fontId="17" fillId="22" borderId="2" xfId="0" applyNumberFormat="1" applyFont="1" applyFill="1" applyBorder="1" applyAlignment="1">
      <alignment horizontal="center" vertical="center"/>
    </xf>
    <xf numFmtId="177" fontId="14" fillId="21" borderId="2" xfId="2" applyNumberFormat="1" applyFont="1" applyFill="1" applyBorder="1" applyAlignment="1">
      <alignment horizontal="center" vertical="center"/>
    </xf>
    <xf numFmtId="43" fontId="14" fillId="21" borderId="2" xfId="0" applyNumberFormat="1" applyFont="1" applyFill="1" applyBorder="1" applyAlignment="1">
      <alignment horizontal="center" vertical="center"/>
    </xf>
    <xf numFmtId="179" fontId="14" fillId="21" borderId="2" xfId="2" applyNumberFormat="1" applyFont="1" applyFill="1" applyBorder="1" applyAlignment="1">
      <alignment horizontal="center" vertical="center"/>
    </xf>
    <xf numFmtId="180" fontId="14" fillId="21" borderId="2" xfId="2" applyNumberFormat="1" applyFont="1" applyFill="1" applyBorder="1" applyAlignment="1">
      <alignment horizontal="center" vertical="center"/>
    </xf>
    <xf numFmtId="180" fontId="14" fillId="21" borderId="2" xfId="1" applyNumberFormat="1" applyFont="1" applyFill="1" applyBorder="1" applyAlignment="1">
      <alignment horizontal="center" vertical="center"/>
    </xf>
    <xf numFmtId="177" fontId="14" fillId="21" borderId="2" xfId="1" applyNumberFormat="1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vertical="center"/>
    </xf>
    <xf numFmtId="0" fontId="14" fillId="23" borderId="3" xfId="0" applyFont="1" applyFill="1" applyBorder="1" applyAlignment="1">
      <alignment vertical="center"/>
    </xf>
    <xf numFmtId="0" fontId="14" fillId="23" borderId="4" xfId="0" applyFont="1" applyFill="1" applyBorder="1" applyAlignment="1">
      <alignment vertical="center"/>
    </xf>
    <xf numFmtId="0" fontId="14" fillId="23" borderId="4" xfId="0" applyFont="1" applyFill="1" applyBorder="1" applyAlignment="1">
      <alignment horizontal="center" vertical="center"/>
    </xf>
    <xf numFmtId="49" fontId="14" fillId="23" borderId="2" xfId="0" applyNumberFormat="1" applyFont="1" applyFill="1" applyBorder="1" applyAlignment="1">
      <alignment horizontal="center" vertical="center"/>
    </xf>
    <xf numFmtId="14" fontId="14" fillId="23" borderId="4" xfId="0" applyNumberFormat="1" applyFont="1" applyFill="1" applyBorder="1" applyAlignment="1">
      <alignment horizontal="center" vertical="center"/>
    </xf>
    <xf numFmtId="49" fontId="17" fillId="24" borderId="2" xfId="0" applyNumberFormat="1" applyFont="1" applyFill="1" applyBorder="1" applyAlignment="1">
      <alignment horizontal="center" vertical="center"/>
    </xf>
    <xf numFmtId="177" fontId="14" fillId="23" borderId="2" xfId="2" applyNumberFormat="1" applyFont="1" applyFill="1" applyBorder="1" applyAlignment="1">
      <alignment horizontal="center" vertical="center"/>
    </xf>
    <xf numFmtId="43" fontId="14" fillId="23" borderId="2" xfId="0" applyNumberFormat="1" applyFont="1" applyFill="1" applyBorder="1" applyAlignment="1">
      <alignment horizontal="center" vertical="center"/>
    </xf>
    <xf numFmtId="179" fontId="14" fillId="23" borderId="2" xfId="2" applyNumberFormat="1" applyFont="1" applyFill="1" applyBorder="1" applyAlignment="1">
      <alignment horizontal="center" vertical="center"/>
    </xf>
    <xf numFmtId="180" fontId="14" fillId="23" borderId="2" xfId="2" applyNumberFormat="1" applyFont="1" applyFill="1" applyBorder="1" applyAlignment="1">
      <alignment horizontal="center" vertical="center"/>
    </xf>
    <xf numFmtId="180" fontId="14" fillId="23" borderId="2" xfId="1" applyNumberFormat="1" applyFont="1" applyFill="1" applyBorder="1" applyAlignment="1">
      <alignment horizontal="center" vertical="center"/>
    </xf>
    <xf numFmtId="177" fontId="14" fillId="23" borderId="2" xfId="1" applyNumberFormat="1" applyFont="1" applyFill="1" applyBorder="1" applyAlignment="1">
      <alignment horizontal="center" vertical="center"/>
    </xf>
    <xf numFmtId="49" fontId="17" fillId="16" borderId="2" xfId="0" applyNumberFormat="1" applyFont="1" applyFill="1" applyBorder="1" applyAlignment="1">
      <alignment horizontal="center" vertical="center"/>
    </xf>
    <xf numFmtId="177" fontId="14" fillId="11" borderId="2" xfId="2" applyNumberFormat="1" applyFont="1" applyFill="1" applyBorder="1" applyAlignment="1">
      <alignment horizontal="center" vertical="center"/>
    </xf>
    <xf numFmtId="0" fontId="14" fillId="11" borderId="2" xfId="10" applyFont="1" applyFill="1" applyBorder="1" applyAlignment="1">
      <alignment vertical="center"/>
    </xf>
    <xf numFmtId="0" fontId="32" fillId="4" borderId="4" xfId="0" applyFont="1" applyFill="1" applyBorder="1" applyAlignment="1">
      <alignment vertical="center"/>
    </xf>
    <xf numFmtId="0" fontId="32" fillId="4" borderId="2" xfId="0" applyFont="1" applyFill="1" applyBorder="1" applyAlignment="1">
      <alignment vertical="center"/>
    </xf>
    <xf numFmtId="14" fontId="32" fillId="4" borderId="2" xfId="0" applyNumberFormat="1" applyFont="1" applyFill="1" applyBorder="1" applyAlignment="1">
      <alignment vertical="center"/>
    </xf>
    <xf numFmtId="14" fontId="32" fillId="4" borderId="4" xfId="0" applyNumberFormat="1" applyFont="1" applyFill="1" applyBorder="1" applyAlignment="1">
      <alignment vertical="center"/>
    </xf>
    <xf numFmtId="0" fontId="37" fillId="4" borderId="4" xfId="0" applyFont="1" applyFill="1" applyBorder="1" applyAlignment="1">
      <alignment horizontal="center" vertical="center"/>
    </xf>
    <xf numFmtId="0" fontId="38" fillId="0" borderId="2" xfId="10" applyFont="1" applyBorder="1" applyAlignment="1">
      <alignment horizontal="left" vertical="center"/>
    </xf>
    <xf numFmtId="0" fontId="37" fillId="4" borderId="2" xfId="0" applyFont="1" applyFill="1" applyBorder="1" applyAlignment="1">
      <alignment horizontal="center" vertical="center"/>
    </xf>
    <xf numFmtId="14" fontId="37" fillId="3" borderId="4" xfId="0" applyNumberFormat="1" applyFont="1" applyFill="1" applyBorder="1" applyAlignment="1">
      <alignment horizontal="center" vertical="center"/>
    </xf>
    <xf numFmtId="0" fontId="37" fillId="3" borderId="4" xfId="0" applyFont="1" applyFill="1" applyBorder="1" applyAlignment="1">
      <alignment horizontal="center" vertical="center"/>
    </xf>
    <xf numFmtId="49" fontId="37" fillId="3" borderId="2" xfId="0" applyNumberFormat="1" applyFont="1" applyFill="1" applyBorder="1" applyAlignment="1">
      <alignment horizontal="center" vertical="center"/>
    </xf>
    <xf numFmtId="49" fontId="37" fillId="5" borderId="2" xfId="0" applyNumberFormat="1" applyFont="1" applyFill="1" applyBorder="1" applyAlignment="1">
      <alignment horizontal="center" vertical="center"/>
    </xf>
    <xf numFmtId="41" fontId="37" fillId="3" borderId="2" xfId="2" applyFont="1" applyFill="1" applyBorder="1" applyAlignment="1">
      <alignment horizontal="center" vertical="center"/>
    </xf>
    <xf numFmtId="14" fontId="39" fillId="3" borderId="2" xfId="2" applyNumberFormat="1" applyFont="1" applyFill="1" applyBorder="1" applyAlignment="1">
      <alignment horizontal="center" vertical="center" wrapText="1"/>
    </xf>
    <xf numFmtId="41" fontId="39" fillId="3" borderId="2" xfId="2" applyFont="1" applyFill="1" applyBorder="1" applyAlignment="1">
      <alignment horizontal="center" vertical="center" wrapText="1"/>
    </xf>
    <xf numFmtId="41" fontId="37" fillId="3" borderId="4" xfId="2" applyFont="1" applyFill="1" applyBorder="1" applyAlignment="1">
      <alignment horizontal="center" vertical="center"/>
    </xf>
    <xf numFmtId="43" fontId="37" fillId="3" borderId="2" xfId="2" applyNumberFormat="1" applyFont="1" applyFill="1" applyBorder="1" applyAlignment="1">
      <alignment horizontal="center" vertical="center"/>
    </xf>
    <xf numFmtId="177" fontId="37" fillId="3" borderId="2" xfId="2" applyNumberFormat="1" applyFont="1" applyFill="1" applyBorder="1" applyAlignment="1">
      <alignment horizontal="center" vertical="center"/>
    </xf>
    <xf numFmtId="43" fontId="37" fillId="3" borderId="2" xfId="1" applyFont="1" applyFill="1" applyBorder="1" applyAlignment="1">
      <alignment horizontal="center" vertical="center"/>
    </xf>
    <xf numFmtId="181" fontId="22" fillId="0" borderId="2" xfId="0" applyNumberFormat="1" applyFont="1" applyBorder="1" applyAlignment="1">
      <alignment horizontal="center" vertical="center" wrapText="1"/>
    </xf>
    <xf numFmtId="0" fontId="37" fillId="0" borderId="0" xfId="0" applyFont="1" applyAlignment="1">
      <alignment horizontal="left" vertical="center"/>
    </xf>
    <xf numFmtId="0" fontId="37" fillId="0" borderId="0" xfId="0" applyFont="1" applyAlignment="1">
      <alignment vertical="center"/>
    </xf>
    <xf numFmtId="49" fontId="37" fillId="0" borderId="0" xfId="0" applyNumberFormat="1" applyFont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49" fontId="22" fillId="0" borderId="2" xfId="0" applyNumberFormat="1" applyFont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22" fillId="0" borderId="2" xfId="0" applyFont="1" applyBorder="1" applyAlignment="1">
      <alignment horizontal="left" vertical="center"/>
    </xf>
    <xf numFmtId="41" fontId="22" fillId="0" borderId="2" xfId="2" applyFont="1" applyBorder="1" applyAlignment="1"/>
    <xf numFmtId="0" fontId="22" fillId="0" borderId="2" xfId="0" applyFont="1" applyBorder="1" applyAlignment="1">
      <alignment horizontal="center"/>
    </xf>
    <xf numFmtId="41" fontId="22" fillId="3" borderId="0" xfId="0" applyNumberFormat="1" applyFont="1" applyFill="1" applyAlignment="1">
      <alignment horizontal="center" vertical="center"/>
    </xf>
    <xf numFmtId="43" fontId="22" fillId="3" borderId="0" xfId="0" applyNumberFormat="1" applyFont="1" applyFill="1" applyAlignment="1">
      <alignment horizontal="center" vertical="center"/>
    </xf>
    <xf numFmtId="41" fontId="22" fillId="17" borderId="2" xfId="2" applyFont="1" applyFill="1" applyBorder="1" applyAlignment="1"/>
    <xf numFmtId="41" fontId="22" fillId="17" borderId="2" xfId="2" applyFont="1" applyFill="1" applyBorder="1" applyAlignment="1">
      <alignment horizontal="center"/>
    </xf>
    <xf numFmtId="41" fontId="22" fillId="0" borderId="2" xfId="2" applyFont="1" applyBorder="1" applyAlignment="1">
      <alignment horizontal="center"/>
    </xf>
    <xf numFmtId="41" fontId="27" fillId="2" borderId="2" xfId="2" applyFont="1" applyFill="1" applyBorder="1" applyAlignment="1">
      <alignment horizontal="center" vertical="center"/>
    </xf>
    <xf numFmtId="41" fontId="27" fillId="0" borderId="0" xfId="2" applyFont="1" applyAlignment="1">
      <alignment horizontal="center" vertical="center"/>
    </xf>
    <xf numFmtId="41" fontId="22" fillId="0" borderId="0" xfId="2" applyFont="1" applyAlignment="1">
      <alignment horizontal="center" vertical="center"/>
    </xf>
    <xf numFmtId="41" fontId="22" fillId="0" borderId="2" xfId="2" applyFont="1" applyFill="1" applyBorder="1" applyAlignment="1">
      <alignment horizontal="center" vertical="center"/>
    </xf>
    <xf numFmtId="182" fontId="22" fillId="0" borderId="2" xfId="0" applyNumberFormat="1" applyFont="1" applyBorder="1" applyAlignment="1">
      <alignment horizontal="center" vertical="center"/>
    </xf>
    <xf numFmtId="14" fontId="32" fillId="4" borderId="2" xfId="0" applyNumberFormat="1" applyFont="1" applyFill="1" applyBorder="1" applyAlignment="1">
      <alignment horizontal="center" vertical="center"/>
    </xf>
    <xf numFmtId="41" fontId="32" fillId="4" borderId="4" xfId="0" applyNumberFormat="1" applyFont="1" applyFill="1" applyBorder="1" applyAlignment="1">
      <alignment horizontal="center" vertical="center"/>
    </xf>
    <xf numFmtId="0" fontId="32" fillId="0" borderId="2" xfId="0" applyFont="1" applyBorder="1" applyAlignment="1">
      <alignment horizontal="left" vertical="center"/>
    </xf>
    <xf numFmtId="0" fontId="32" fillId="0" borderId="4" xfId="0" applyFont="1" applyBorder="1" applyAlignment="1">
      <alignment horizontal="center" vertical="center"/>
    </xf>
    <xf numFmtId="49" fontId="25" fillId="2" borderId="3" xfId="0" applyNumberFormat="1" applyFont="1" applyFill="1" applyBorder="1" applyAlignment="1">
      <alignment horizontal="center" vertical="center" wrapText="1"/>
    </xf>
    <xf numFmtId="49" fontId="25" fillId="2" borderId="6" xfId="0" applyNumberFormat="1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center" wrapText="1"/>
    </xf>
    <xf numFmtId="0" fontId="25" fillId="2" borderId="6" xfId="0" applyFont="1" applyFill="1" applyBorder="1" applyAlignment="1">
      <alignment horizontal="center" vertical="center" wrapText="1"/>
    </xf>
    <xf numFmtId="176" fontId="25" fillId="2" borderId="3" xfId="0" applyNumberFormat="1" applyFont="1" applyFill="1" applyBorder="1" applyAlignment="1">
      <alignment horizontal="center" vertical="center" wrapText="1"/>
    </xf>
    <xf numFmtId="176" fontId="25" fillId="2" borderId="6" xfId="0" applyNumberFormat="1" applyFont="1" applyFill="1" applyBorder="1" applyAlignment="1">
      <alignment horizontal="center" vertical="center" wrapText="1"/>
    </xf>
    <xf numFmtId="177" fontId="25" fillId="2" borderId="3" xfId="2" applyNumberFormat="1" applyFont="1" applyFill="1" applyBorder="1" applyAlignment="1">
      <alignment horizontal="center" vertical="center" wrapText="1"/>
    </xf>
    <xf numFmtId="177" fontId="25" fillId="2" borderId="6" xfId="2" applyNumberFormat="1" applyFont="1" applyFill="1" applyBorder="1" applyAlignment="1">
      <alignment horizontal="center" vertical="center" wrapText="1"/>
    </xf>
    <xf numFmtId="178" fontId="25" fillId="2" borderId="3" xfId="1" applyNumberFormat="1" applyFont="1" applyFill="1" applyBorder="1" applyAlignment="1">
      <alignment horizontal="center" vertical="center" wrapText="1"/>
    </xf>
    <xf numFmtId="178" fontId="25" fillId="2" borderId="6" xfId="1" applyNumberFormat="1" applyFont="1" applyFill="1" applyBorder="1" applyAlignment="1">
      <alignment horizontal="center" vertical="center" wrapText="1"/>
    </xf>
    <xf numFmtId="41" fontId="25" fillId="2" borderId="3" xfId="2" applyFont="1" applyFill="1" applyBorder="1" applyAlignment="1">
      <alignment horizontal="center" vertical="center" wrapText="1"/>
    </xf>
    <xf numFmtId="41" fontId="25" fillId="2" borderId="6" xfId="2" applyFont="1" applyFill="1" applyBorder="1" applyAlignment="1">
      <alignment horizontal="center" vertical="center" wrapText="1"/>
    </xf>
    <xf numFmtId="41" fontId="25" fillId="2" borderId="5" xfId="2" applyFont="1" applyFill="1" applyBorder="1" applyAlignment="1">
      <alignment horizontal="center" vertical="center" wrapText="1"/>
    </xf>
    <xf numFmtId="41" fontId="25" fillId="2" borderId="7" xfId="2" applyFont="1" applyFill="1" applyBorder="1" applyAlignment="1">
      <alignment horizontal="center" vertical="center" wrapText="1"/>
    </xf>
    <xf numFmtId="41" fontId="25" fillId="2" borderId="4" xfId="2" applyFont="1" applyFill="1" applyBorder="1" applyAlignment="1">
      <alignment horizontal="center" vertical="center" wrapText="1"/>
    </xf>
    <xf numFmtId="0" fontId="37" fillId="4" borderId="5" xfId="0" applyFont="1" applyFill="1" applyBorder="1" applyAlignment="1">
      <alignment horizontal="center" vertical="center"/>
    </xf>
    <xf numFmtId="0" fontId="37" fillId="4" borderId="7" xfId="0" applyFont="1" applyFill="1" applyBorder="1" applyAlignment="1">
      <alignment horizontal="center" vertical="center"/>
    </xf>
    <xf numFmtId="0" fontId="37" fillId="4" borderId="4" xfId="0" applyFont="1" applyFill="1" applyBorder="1" applyAlignment="1">
      <alignment horizontal="center" vertical="center"/>
    </xf>
    <xf numFmtId="180" fontId="14" fillId="3" borderId="3" xfId="1" applyNumberFormat="1" applyFont="1" applyFill="1" applyBorder="1" applyAlignment="1">
      <alignment horizontal="center" vertical="center"/>
    </xf>
    <xf numFmtId="180" fontId="14" fillId="3" borderId="8" xfId="1" applyNumberFormat="1" applyFont="1" applyFill="1" applyBorder="1" applyAlignment="1">
      <alignment horizontal="center" vertical="center"/>
    </xf>
    <xf numFmtId="180" fontId="14" fillId="3" borderId="6" xfId="1" applyNumberFormat="1" applyFont="1" applyFill="1" applyBorder="1" applyAlignment="1">
      <alignment horizontal="center" vertical="center"/>
    </xf>
  </cellXfs>
  <cellStyles count="11">
    <cellStyle name="Comma" xfId="1" builtinId="3"/>
    <cellStyle name="Comma [0]" xfId="2" builtinId="6"/>
    <cellStyle name="Comma [0] 2" xfId="9" xr:uid="{3E3A46F6-6CD3-4044-BA3D-A98C4AA2EF17}"/>
    <cellStyle name="Comma 2" xfId="3" xr:uid="{D954F6B2-1F7B-E544-A84E-5535F0DFAAFB}"/>
    <cellStyle name="Comma 2 2" xfId="8" xr:uid="{61555E73-6C0B-534A-8919-1CABDAE8680E}"/>
    <cellStyle name="Comma 3" xfId="7" xr:uid="{1182077C-C547-AD49-A366-0B7081B4F5EC}"/>
    <cellStyle name="Hyperlink" xfId="10" builtinId="8"/>
    <cellStyle name="Normal" xfId="0" builtinId="0"/>
    <cellStyle name="Normal 2" xfId="6" xr:uid="{D35793C4-E71F-E046-AD20-B601009844B8}"/>
    <cellStyle name="Normal 3" xfId="4" xr:uid="{9923A4B2-0242-2E4F-94F2-D01E376EA206}"/>
    <cellStyle name="Normal 4" xfId="5" xr:uid="{EC176481-C6D5-5C4F-98B9-1C59AD207D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211667</xdr:colOff>
      <xdr:row>111</xdr:row>
      <xdr:rowOff>211667</xdr:rowOff>
    </xdr:from>
    <xdr:to>
      <xdr:col>21</xdr:col>
      <xdr:colOff>766234</xdr:colOff>
      <xdr:row>135</xdr:row>
      <xdr:rowOff>365452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3FF505-8C4A-A644-842C-3CDAE7F5C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667" y="83256967"/>
          <a:ext cx="28532667" cy="9297785"/>
        </a:xfrm>
        <a:prstGeom prst="rect">
          <a:avLst/>
        </a:prstGeom>
      </xdr:spPr>
    </xdr:pic>
    <xdr:clientData/>
  </xdr:twoCellAnchor>
  <xdr:twoCellAnchor editAs="oneCell">
    <xdr:from>
      <xdr:col>0</xdr:col>
      <xdr:colOff>50800</xdr:colOff>
      <xdr:row>0</xdr:row>
      <xdr:rowOff>38101</xdr:rowOff>
    </xdr:from>
    <xdr:to>
      <xdr:col>21</xdr:col>
      <xdr:colOff>630766</xdr:colOff>
      <xdr:row>3</xdr:row>
      <xdr:rowOff>296333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AA27EE7-1E6D-BE44-B137-DFD815533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" y="38101"/>
          <a:ext cx="28558066" cy="14012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211667</xdr:colOff>
      <xdr:row>35</xdr:row>
      <xdr:rowOff>211667</xdr:rowOff>
    </xdr:from>
    <xdr:to>
      <xdr:col>22</xdr:col>
      <xdr:colOff>1337734</xdr:colOff>
      <xdr:row>59</xdr:row>
      <xdr:rowOff>365452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0FB8BF-CB15-C948-B76E-E56300E967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667" y="17343967"/>
          <a:ext cx="28532667" cy="9297785"/>
        </a:xfrm>
        <a:prstGeom prst="rect">
          <a:avLst/>
        </a:prstGeom>
      </xdr:spPr>
    </xdr:pic>
    <xdr:clientData/>
  </xdr:twoCellAnchor>
  <xdr:twoCellAnchor editAs="oneCell">
    <xdr:from>
      <xdr:col>0</xdr:col>
      <xdr:colOff>50800</xdr:colOff>
      <xdr:row>0</xdr:row>
      <xdr:rowOff>38101</xdr:rowOff>
    </xdr:from>
    <xdr:to>
      <xdr:col>22</xdr:col>
      <xdr:colOff>1202266</xdr:colOff>
      <xdr:row>3</xdr:row>
      <xdr:rowOff>296333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9098D2-BFF4-2B4B-A5AE-E743A2A62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" y="38101"/>
          <a:ext cx="28558066" cy="14012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211667</xdr:colOff>
      <xdr:row>199</xdr:row>
      <xdr:rowOff>211667</xdr:rowOff>
    </xdr:from>
    <xdr:to>
      <xdr:col>23</xdr:col>
      <xdr:colOff>994834</xdr:colOff>
      <xdr:row>223</xdr:row>
      <xdr:rowOff>365452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553B25-0EC3-8B4B-A4A6-E3C170672E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667" y="17343967"/>
          <a:ext cx="28532667" cy="9297785"/>
        </a:xfrm>
        <a:prstGeom prst="rect">
          <a:avLst/>
        </a:prstGeom>
      </xdr:spPr>
    </xdr:pic>
    <xdr:clientData/>
  </xdr:twoCellAnchor>
  <xdr:twoCellAnchor editAs="oneCell">
    <xdr:from>
      <xdr:col>0</xdr:col>
      <xdr:colOff>50800</xdr:colOff>
      <xdr:row>0</xdr:row>
      <xdr:rowOff>38101</xdr:rowOff>
    </xdr:from>
    <xdr:to>
      <xdr:col>24</xdr:col>
      <xdr:colOff>215900</xdr:colOff>
      <xdr:row>3</xdr:row>
      <xdr:rowOff>296333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55B4D39-ACF5-984C-B8D9-2F65EB389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" y="38101"/>
          <a:ext cx="29603700" cy="14012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87</xdr:row>
      <xdr:rowOff>285750</xdr:rowOff>
    </xdr:from>
    <xdr:to>
      <xdr:col>19</xdr:col>
      <xdr:colOff>2857500</xdr:colOff>
      <xdr:row>104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CA315E-A990-4748-AE41-6654CC7F27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2203250"/>
          <a:ext cx="60642500" cy="7874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190500</xdr:rowOff>
    </xdr:from>
    <xdr:to>
      <xdr:col>19</xdr:col>
      <xdr:colOff>2730500</xdr:colOff>
      <xdr:row>8</xdr:row>
      <xdr:rowOff>349250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48E0F0-6279-F04F-A730-0D7D41813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00"/>
          <a:ext cx="60515500" cy="39687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211667</xdr:colOff>
      <xdr:row>435</xdr:row>
      <xdr:rowOff>211667</xdr:rowOff>
    </xdr:from>
    <xdr:to>
      <xdr:col>22</xdr:col>
      <xdr:colOff>1452034</xdr:colOff>
      <xdr:row>459</xdr:row>
      <xdr:rowOff>365452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07BE80-97EB-AB40-AE87-F905C2FE5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667" y="166314967"/>
          <a:ext cx="28532667" cy="9297785"/>
        </a:xfrm>
        <a:prstGeom prst="rect">
          <a:avLst/>
        </a:prstGeom>
      </xdr:spPr>
    </xdr:pic>
    <xdr:clientData/>
  </xdr:twoCellAnchor>
  <xdr:twoCellAnchor editAs="oneCell">
    <xdr:from>
      <xdr:col>0</xdr:col>
      <xdr:colOff>50800</xdr:colOff>
      <xdr:row>0</xdr:row>
      <xdr:rowOff>38101</xdr:rowOff>
    </xdr:from>
    <xdr:to>
      <xdr:col>22</xdr:col>
      <xdr:colOff>1316566</xdr:colOff>
      <xdr:row>3</xdr:row>
      <xdr:rowOff>296333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B9AD5DF-AE13-B74C-9FC7-2299760E09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" y="38101"/>
          <a:ext cx="28558066" cy="140123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GeneralLedger%20-%202026-07-01_2026-07-3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 Ledger"/>
      <sheetName val="hongsa"/>
      <sheetName val="General Ledger (2)"/>
      <sheetName val="Sheet1"/>
    </sheetNames>
    <sheetDataSet>
      <sheetData sheetId="0">
        <row r="2">
          <cell r="I2">
            <v>788399999.99999988</v>
          </cell>
        </row>
        <row r="3">
          <cell r="I3">
            <v>783599999.99999988</v>
          </cell>
        </row>
        <row r="4">
          <cell r="I4">
            <v>395799999.99999994</v>
          </cell>
        </row>
        <row r="5">
          <cell r="I5">
            <v>57569999.999999985</v>
          </cell>
        </row>
        <row r="6">
          <cell r="I6">
            <v>228719999.99999997</v>
          </cell>
        </row>
        <row r="7">
          <cell r="I7">
            <v>1137600000</v>
          </cell>
        </row>
        <row r="8">
          <cell r="I8">
            <v>76239999.999999985</v>
          </cell>
        </row>
        <row r="9">
          <cell r="I9">
            <v>95799999.999999985</v>
          </cell>
        </row>
        <row r="10">
          <cell r="I10">
            <v>537319999.99999988</v>
          </cell>
        </row>
        <row r="11">
          <cell r="I11">
            <v>4177799999.9999995</v>
          </cell>
        </row>
        <row r="12">
          <cell r="I12">
            <v>382399999.99999994</v>
          </cell>
        </row>
        <row r="13">
          <cell r="I13">
            <v>304959999.99999994</v>
          </cell>
        </row>
        <row r="14">
          <cell r="I14">
            <v>57179999.999999993</v>
          </cell>
        </row>
        <row r="15">
          <cell r="I15">
            <v>758399999.99999988</v>
          </cell>
        </row>
        <row r="16">
          <cell r="I16">
            <v>760799999.99999988</v>
          </cell>
        </row>
        <row r="17">
          <cell r="I17">
            <v>387799999.99999994</v>
          </cell>
        </row>
        <row r="18">
          <cell r="I18">
            <v>801199999.99999988</v>
          </cell>
        </row>
        <row r="19">
          <cell r="I19">
            <v>235919999.99999997</v>
          </cell>
        </row>
        <row r="20">
          <cell r="I20">
            <v>765999999.99999988</v>
          </cell>
        </row>
        <row r="21">
          <cell r="I21">
            <v>382399999.99999994</v>
          </cell>
        </row>
        <row r="22">
          <cell r="I22">
            <v>383599999.99999994</v>
          </cell>
        </row>
        <row r="23">
          <cell r="I23">
            <v>530879999.99999994</v>
          </cell>
        </row>
        <row r="24">
          <cell r="I24">
            <v>381199999.99999994</v>
          </cell>
        </row>
        <row r="25">
          <cell r="I25">
            <v>382999999.99999994</v>
          </cell>
        </row>
        <row r="26">
          <cell r="I26">
            <v>77400000</v>
          </cell>
        </row>
        <row r="27">
          <cell r="I27">
            <v>810179999.99999988</v>
          </cell>
        </row>
        <row r="28">
          <cell r="I28">
            <v>1255839999.9999998</v>
          </cell>
        </row>
        <row r="29">
          <cell r="I29">
            <v>382399999.99999994</v>
          </cell>
        </row>
        <row r="30">
          <cell r="I30">
            <v>76479999.999999985</v>
          </cell>
        </row>
        <row r="31">
          <cell r="I31">
            <v>765999999.99999988</v>
          </cell>
        </row>
        <row r="32">
          <cell r="I32">
            <v>9855000000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ntp-odoo.com/web" TargetMode="External"/><Relationship Id="rId21" Type="http://schemas.openxmlformats.org/officeDocument/2006/relationships/hyperlink" Target="https://ntp-odoo.com/web" TargetMode="External"/><Relationship Id="rId42" Type="http://schemas.openxmlformats.org/officeDocument/2006/relationships/hyperlink" Target="https://ntp-odoo.com/web" TargetMode="External"/><Relationship Id="rId63" Type="http://schemas.openxmlformats.org/officeDocument/2006/relationships/hyperlink" Target="https://ntp-odoo.com/web" TargetMode="External"/><Relationship Id="rId84" Type="http://schemas.openxmlformats.org/officeDocument/2006/relationships/hyperlink" Target="https://ntp-odoo.com/web" TargetMode="External"/><Relationship Id="rId138" Type="http://schemas.openxmlformats.org/officeDocument/2006/relationships/hyperlink" Target="https://ntp-odoo.com/web" TargetMode="External"/><Relationship Id="rId107" Type="http://schemas.openxmlformats.org/officeDocument/2006/relationships/hyperlink" Target="https://ntp-odoo.com/web" TargetMode="External"/><Relationship Id="rId11" Type="http://schemas.openxmlformats.org/officeDocument/2006/relationships/hyperlink" Target="https://ntp-odoo.com/web" TargetMode="External"/><Relationship Id="rId32" Type="http://schemas.openxmlformats.org/officeDocument/2006/relationships/hyperlink" Target="https://ntp-odoo.com/web" TargetMode="External"/><Relationship Id="rId53" Type="http://schemas.openxmlformats.org/officeDocument/2006/relationships/hyperlink" Target="https://ntp-odoo.com/web" TargetMode="External"/><Relationship Id="rId74" Type="http://schemas.openxmlformats.org/officeDocument/2006/relationships/hyperlink" Target="https://ntp-odoo.com/web" TargetMode="External"/><Relationship Id="rId128" Type="http://schemas.openxmlformats.org/officeDocument/2006/relationships/hyperlink" Target="https://ntp-odoo.com/web" TargetMode="External"/><Relationship Id="rId149" Type="http://schemas.openxmlformats.org/officeDocument/2006/relationships/hyperlink" Target="https://ntp-odoo.com/web" TargetMode="External"/><Relationship Id="rId5" Type="http://schemas.openxmlformats.org/officeDocument/2006/relationships/hyperlink" Target="https://ntp-odoo.com/web" TargetMode="External"/><Relationship Id="rId95" Type="http://schemas.openxmlformats.org/officeDocument/2006/relationships/hyperlink" Target="https://ntp-odoo.com/web" TargetMode="External"/><Relationship Id="rId22" Type="http://schemas.openxmlformats.org/officeDocument/2006/relationships/hyperlink" Target="https://ntp-odoo.com/web" TargetMode="External"/><Relationship Id="rId27" Type="http://schemas.openxmlformats.org/officeDocument/2006/relationships/hyperlink" Target="https://ntp-odoo.com/web" TargetMode="External"/><Relationship Id="rId43" Type="http://schemas.openxmlformats.org/officeDocument/2006/relationships/hyperlink" Target="https://ntp-odoo.com/web" TargetMode="External"/><Relationship Id="rId48" Type="http://schemas.openxmlformats.org/officeDocument/2006/relationships/hyperlink" Target="https://ntp-odoo.com/web" TargetMode="External"/><Relationship Id="rId64" Type="http://schemas.openxmlformats.org/officeDocument/2006/relationships/hyperlink" Target="https://ntp-odoo.com/web" TargetMode="External"/><Relationship Id="rId69" Type="http://schemas.openxmlformats.org/officeDocument/2006/relationships/hyperlink" Target="https://ntp-odoo.com/web" TargetMode="External"/><Relationship Id="rId113" Type="http://schemas.openxmlformats.org/officeDocument/2006/relationships/hyperlink" Target="https://ntp-odoo.com/web" TargetMode="External"/><Relationship Id="rId118" Type="http://schemas.openxmlformats.org/officeDocument/2006/relationships/hyperlink" Target="https://ntp-odoo.com/web" TargetMode="External"/><Relationship Id="rId134" Type="http://schemas.openxmlformats.org/officeDocument/2006/relationships/hyperlink" Target="https://ntp-odoo.com/web" TargetMode="External"/><Relationship Id="rId139" Type="http://schemas.openxmlformats.org/officeDocument/2006/relationships/hyperlink" Target="https://ntp-odoo.com/web" TargetMode="External"/><Relationship Id="rId80" Type="http://schemas.openxmlformats.org/officeDocument/2006/relationships/hyperlink" Target="https://ntp-odoo.com/web" TargetMode="External"/><Relationship Id="rId85" Type="http://schemas.openxmlformats.org/officeDocument/2006/relationships/hyperlink" Target="https://ntp-odoo.com/web" TargetMode="External"/><Relationship Id="rId150" Type="http://schemas.openxmlformats.org/officeDocument/2006/relationships/hyperlink" Target="https://ntp-odoo.com/web" TargetMode="External"/><Relationship Id="rId155" Type="http://schemas.openxmlformats.org/officeDocument/2006/relationships/hyperlink" Target="https://ntp-odoo.com/web" TargetMode="External"/><Relationship Id="rId12" Type="http://schemas.openxmlformats.org/officeDocument/2006/relationships/hyperlink" Target="https://ntp-odoo.com/web" TargetMode="External"/><Relationship Id="rId17" Type="http://schemas.openxmlformats.org/officeDocument/2006/relationships/hyperlink" Target="https://ntp-odoo.com/web" TargetMode="External"/><Relationship Id="rId33" Type="http://schemas.openxmlformats.org/officeDocument/2006/relationships/hyperlink" Target="https://ntp-odoo.com/web" TargetMode="External"/><Relationship Id="rId38" Type="http://schemas.openxmlformats.org/officeDocument/2006/relationships/hyperlink" Target="https://ntp-odoo.com/web" TargetMode="External"/><Relationship Id="rId59" Type="http://schemas.openxmlformats.org/officeDocument/2006/relationships/hyperlink" Target="https://ntp-odoo.com/web" TargetMode="External"/><Relationship Id="rId103" Type="http://schemas.openxmlformats.org/officeDocument/2006/relationships/hyperlink" Target="https://ntp-odoo.com/web" TargetMode="External"/><Relationship Id="rId108" Type="http://schemas.openxmlformats.org/officeDocument/2006/relationships/hyperlink" Target="https://ntp-odoo.com/web" TargetMode="External"/><Relationship Id="rId124" Type="http://schemas.openxmlformats.org/officeDocument/2006/relationships/hyperlink" Target="https://ntp-odoo.com/web" TargetMode="External"/><Relationship Id="rId129" Type="http://schemas.openxmlformats.org/officeDocument/2006/relationships/hyperlink" Target="https://ntp-odoo.com/web" TargetMode="External"/><Relationship Id="rId54" Type="http://schemas.openxmlformats.org/officeDocument/2006/relationships/hyperlink" Target="https://ntp-odoo.com/web" TargetMode="External"/><Relationship Id="rId70" Type="http://schemas.openxmlformats.org/officeDocument/2006/relationships/hyperlink" Target="https://ntp-odoo.com/web" TargetMode="External"/><Relationship Id="rId75" Type="http://schemas.openxmlformats.org/officeDocument/2006/relationships/hyperlink" Target="https://ntp-odoo.com/web" TargetMode="External"/><Relationship Id="rId91" Type="http://schemas.openxmlformats.org/officeDocument/2006/relationships/hyperlink" Target="https://ntp-odoo.com/web" TargetMode="External"/><Relationship Id="rId96" Type="http://schemas.openxmlformats.org/officeDocument/2006/relationships/hyperlink" Target="https://ntp-odoo.com/web" TargetMode="External"/><Relationship Id="rId140" Type="http://schemas.openxmlformats.org/officeDocument/2006/relationships/hyperlink" Target="https://ntp-odoo.com/web" TargetMode="External"/><Relationship Id="rId145" Type="http://schemas.openxmlformats.org/officeDocument/2006/relationships/hyperlink" Target="https://ntp-odoo.com/web" TargetMode="External"/><Relationship Id="rId1" Type="http://schemas.openxmlformats.org/officeDocument/2006/relationships/hyperlink" Target="https://ntp-odoo.com/web" TargetMode="External"/><Relationship Id="rId6" Type="http://schemas.openxmlformats.org/officeDocument/2006/relationships/hyperlink" Target="https://ntp-odoo.com/web" TargetMode="External"/><Relationship Id="rId23" Type="http://schemas.openxmlformats.org/officeDocument/2006/relationships/hyperlink" Target="https://ntp-odoo.com/web" TargetMode="External"/><Relationship Id="rId28" Type="http://schemas.openxmlformats.org/officeDocument/2006/relationships/hyperlink" Target="https://ntp-odoo.com/web" TargetMode="External"/><Relationship Id="rId49" Type="http://schemas.openxmlformats.org/officeDocument/2006/relationships/hyperlink" Target="https://ntp-odoo.com/web" TargetMode="External"/><Relationship Id="rId114" Type="http://schemas.openxmlformats.org/officeDocument/2006/relationships/hyperlink" Target="https://ntp-odoo.com/web" TargetMode="External"/><Relationship Id="rId119" Type="http://schemas.openxmlformats.org/officeDocument/2006/relationships/hyperlink" Target="https://ntp-odoo.com/web" TargetMode="External"/><Relationship Id="rId44" Type="http://schemas.openxmlformats.org/officeDocument/2006/relationships/hyperlink" Target="https://ntp-odoo.com/web" TargetMode="External"/><Relationship Id="rId60" Type="http://schemas.openxmlformats.org/officeDocument/2006/relationships/hyperlink" Target="https://ntp-odoo.com/web" TargetMode="External"/><Relationship Id="rId65" Type="http://schemas.openxmlformats.org/officeDocument/2006/relationships/hyperlink" Target="https://ntp-odoo.com/web" TargetMode="External"/><Relationship Id="rId81" Type="http://schemas.openxmlformats.org/officeDocument/2006/relationships/hyperlink" Target="https://ntp-odoo.com/web" TargetMode="External"/><Relationship Id="rId86" Type="http://schemas.openxmlformats.org/officeDocument/2006/relationships/hyperlink" Target="https://ntp-odoo.com/web" TargetMode="External"/><Relationship Id="rId130" Type="http://schemas.openxmlformats.org/officeDocument/2006/relationships/hyperlink" Target="https://ntp-odoo.com/web" TargetMode="External"/><Relationship Id="rId135" Type="http://schemas.openxmlformats.org/officeDocument/2006/relationships/hyperlink" Target="https://ntp-odoo.com/web" TargetMode="External"/><Relationship Id="rId151" Type="http://schemas.openxmlformats.org/officeDocument/2006/relationships/hyperlink" Target="https://ntp-odoo.com/web" TargetMode="External"/><Relationship Id="rId156" Type="http://schemas.openxmlformats.org/officeDocument/2006/relationships/drawing" Target="../drawings/drawing3.xml"/><Relationship Id="rId13" Type="http://schemas.openxmlformats.org/officeDocument/2006/relationships/hyperlink" Target="https://ntp-odoo.com/web" TargetMode="External"/><Relationship Id="rId18" Type="http://schemas.openxmlformats.org/officeDocument/2006/relationships/hyperlink" Target="https://ntp-odoo.com/web" TargetMode="External"/><Relationship Id="rId39" Type="http://schemas.openxmlformats.org/officeDocument/2006/relationships/hyperlink" Target="https://ntp-odoo.com/web" TargetMode="External"/><Relationship Id="rId109" Type="http://schemas.openxmlformats.org/officeDocument/2006/relationships/hyperlink" Target="https://ntp-odoo.com/web" TargetMode="External"/><Relationship Id="rId34" Type="http://schemas.openxmlformats.org/officeDocument/2006/relationships/hyperlink" Target="https://ntp-odoo.com/web" TargetMode="External"/><Relationship Id="rId50" Type="http://schemas.openxmlformats.org/officeDocument/2006/relationships/hyperlink" Target="https://ntp-odoo.com/web" TargetMode="External"/><Relationship Id="rId55" Type="http://schemas.openxmlformats.org/officeDocument/2006/relationships/hyperlink" Target="https://ntp-odoo.com/web" TargetMode="External"/><Relationship Id="rId76" Type="http://schemas.openxmlformats.org/officeDocument/2006/relationships/hyperlink" Target="https://ntp-odoo.com/web" TargetMode="External"/><Relationship Id="rId97" Type="http://schemas.openxmlformats.org/officeDocument/2006/relationships/hyperlink" Target="https://ntp-odoo.com/web" TargetMode="External"/><Relationship Id="rId104" Type="http://schemas.openxmlformats.org/officeDocument/2006/relationships/hyperlink" Target="https://ntp-odoo.com/web" TargetMode="External"/><Relationship Id="rId120" Type="http://schemas.openxmlformats.org/officeDocument/2006/relationships/hyperlink" Target="https://ntp-odoo.com/web" TargetMode="External"/><Relationship Id="rId125" Type="http://schemas.openxmlformats.org/officeDocument/2006/relationships/hyperlink" Target="https://ntp-odoo.com/web" TargetMode="External"/><Relationship Id="rId141" Type="http://schemas.openxmlformats.org/officeDocument/2006/relationships/hyperlink" Target="https://ntp-odoo.com/web" TargetMode="External"/><Relationship Id="rId146" Type="http://schemas.openxmlformats.org/officeDocument/2006/relationships/hyperlink" Target="https://ntp-odoo.com/web" TargetMode="External"/><Relationship Id="rId7" Type="http://schemas.openxmlformats.org/officeDocument/2006/relationships/hyperlink" Target="https://ntp-odoo.com/web" TargetMode="External"/><Relationship Id="rId71" Type="http://schemas.openxmlformats.org/officeDocument/2006/relationships/hyperlink" Target="https://ntp-odoo.com/web" TargetMode="External"/><Relationship Id="rId92" Type="http://schemas.openxmlformats.org/officeDocument/2006/relationships/hyperlink" Target="https://ntp-odoo.com/web" TargetMode="External"/><Relationship Id="rId2" Type="http://schemas.openxmlformats.org/officeDocument/2006/relationships/hyperlink" Target="https://ntp-odoo.com/web" TargetMode="External"/><Relationship Id="rId29" Type="http://schemas.openxmlformats.org/officeDocument/2006/relationships/hyperlink" Target="https://ntp-odoo.com/web" TargetMode="External"/><Relationship Id="rId24" Type="http://schemas.openxmlformats.org/officeDocument/2006/relationships/hyperlink" Target="https://ntp-odoo.com/web" TargetMode="External"/><Relationship Id="rId40" Type="http://schemas.openxmlformats.org/officeDocument/2006/relationships/hyperlink" Target="https://ntp-odoo.com/web" TargetMode="External"/><Relationship Id="rId45" Type="http://schemas.openxmlformats.org/officeDocument/2006/relationships/hyperlink" Target="https://ntp-odoo.com/web" TargetMode="External"/><Relationship Id="rId66" Type="http://schemas.openxmlformats.org/officeDocument/2006/relationships/hyperlink" Target="https://ntp-odoo.com/web" TargetMode="External"/><Relationship Id="rId87" Type="http://schemas.openxmlformats.org/officeDocument/2006/relationships/hyperlink" Target="https://ntp-odoo.com/web" TargetMode="External"/><Relationship Id="rId110" Type="http://schemas.openxmlformats.org/officeDocument/2006/relationships/hyperlink" Target="https://ntp-odoo.com/web" TargetMode="External"/><Relationship Id="rId115" Type="http://schemas.openxmlformats.org/officeDocument/2006/relationships/hyperlink" Target="https://ntp-odoo.com/web" TargetMode="External"/><Relationship Id="rId131" Type="http://schemas.openxmlformats.org/officeDocument/2006/relationships/hyperlink" Target="https://ntp-odoo.com/web" TargetMode="External"/><Relationship Id="rId136" Type="http://schemas.openxmlformats.org/officeDocument/2006/relationships/hyperlink" Target="https://ntp-odoo.com/web" TargetMode="External"/><Relationship Id="rId61" Type="http://schemas.openxmlformats.org/officeDocument/2006/relationships/hyperlink" Target="https://ntp-odoo.com/web" TargetMode="External"/><Relationship Id="rId82" Type="http://schemas.openxmlformats.org/officeDocument/2006/relationships/hyperlink" Target="https://ntp-odoo.com/web" TargetMode="External"/><Relationship Id="rId152" Type="http://schemas.openxmlformats.org/officeDocument/2006/relationships/hyperlink" Target="https://ntp-odoo.com/web" TargetMode="External"/><Relationship Id="rId19" Type="http://schemas.openxmlformats.org/officeDocument/2006/relationships/hyperlink" Target="https://ntp-odoo.com/web" TargetMode="External"/><Relationship Id="rId14" Type="http://schemas.openxmlformats.org/officeDocument/2006/relationships/hyperlink" Target="https://ntp-odoo.com/web" TargetMode="External"/><Relationship Id="rId30" Type="http://schemas.openxmlformats.org/officeDocument/2006/relationships/hyperlink" Target="https://ntp-odoo.com/web" TargetMode="External"/><Relationship Id="rId35" Type="http://schemas.openxmlformats.org/officeDocument/2006/relationships/hyperlink" Target="https://ntp-odoo.com/web" TargetMode="External"/><Relationship Id="rId56" Type="http://schemas.openxmlformats.org/officeDocument/2006/relationships/hyperlink" Target="https://ntp-odoo.com/web" TargetMode="External"/><Relationship Id="rId77" Type="http://schemas.openxmlformats.org/officeDocument/2006/relationships/hyperlink" Target="https://ntp-odoo.com/web" TargetMode="External"/><Relationship Id="rId100" Type="http://schemas.openxmlformats.org/officeDocument/2006/relationships/hyperlink" Target="https://ntp-odoo.com/web" TargetMode="External"/><Relationship Id="rId105" Type="http://schemas.openxmlformats.org/officeDocument/2006/relationships/hyperlink" Target="https://ntp-odoo.com/web" TargetMode="External"/><Relationship Id="rId126" Type="http://schemas.openxmlformats.org/officeDocument/2006/relationships/hyperlink" Target="https://ntp-odoo.com/web" TargetMode="External"/><Relationship Id="rId147" Type="http://schemas.openxmlformats.org/officeDocument/2006/relationships/hyperlink" Target="https://ntp-odoo.com/web" TargetMode="External"/><Relationship Id="rId8" Type="http://schemas.openxmlformats.org/officeDocument/2006/relationships/hyperlink" Target="https://ntp-odoo.com/web" TargetMode="External"/><Relationship Id="rId51" Type="http://schemas.openxmlformats.org/officeDocument/2006/relationships/hyperlink" Target="https://ntp-odoo.com/web" TargetMode="External"/><Relationship Id="rId72" Type="http://schemas.openxmlformats.org/officeDocument/2006/relationships/hyperlink" Target="https://ntp-odoo.com/web" TargetMode="External"/><Relationship Id="rId93" Type="http://schemas.openxmlformats.org/officeDocument/2006/relationships/hyperlink" Target="https://ntp-odoo.com/web" TargetMode="External"/><Relationship Id="rId98" Type="http://schemas.openxmlformats.org/officeDocument/2006/relationships/hyperlink" Target="https://ntp-odoo.com/web" TargetMode="External"/><Relationship Id="rId121" Type="http://schemas.openxmlformats.org/officeDocument/2006/relationships/hyperlink" Target="https://ntp-odoo.com/web" TargetMode="External"/><Relationship Id="rId142" Type="http://schemas.openxmlformats.org/officeDocument/2006/relationships/hyperlink" Target="https://ntp-odoo.com/web" TargetMode="External"/><Relationship Id="rId3" Type="http://schemas.openxmlformats.org/officeDocument/2006/relationships/hyperlink" Target="https://ntp-odoo.com/web" TargetMode="External"/><Relationship Id="rId25" Type="http://schemas.openxmlformats.org/officeDocument/2006/relationships/hyperlink" Target="https://ntp-odoo.com/web" TargetMode="External"/><Relationship Id="rId46" Type="http://schemas.openxmlformats.org/officeDocument/2006/relationships/hyperlink" Target="https://ntp-odoo.com/web" TargetMode="External"/><Relationship Id="rId67" Type="http://schemas.openxmlformats.org/officeDocument/2006/relationships/hyperlink" Target="https://ntp-odoo.com/web" TargetMode="External"/><Relationship Id="rId116" Type="http://schemas.openxmlformats.org/officeDocument/2006/relationships/hyperlink" Target="https://ntp-odoo.com/web" TargetMode="External"/><Relationship Id="rId137" Type="http://schemas.openxmlformats.org/officeDocument/2006/relationships/hyperlink" Target="https://ntp-odoo.com/web" TargetMode="External"/><Relationship Id="rId20" Type="http://schemas.openxmlformats.org/officeDocument/2006/relationships/hyperlink" Target="https://ntp-odoo.com/web" TargetMode="External"/><Relationship Id="rId41" Type="http://schemas.openxmlformats.org/officeDocument/2006/relationships/hyperlink" Target="https://ntp-odoo.com/web" TargetMode="External"/><Relationship Id="rId62" Type="http://schemas.openxmlformats.org/officeDocument/2006/relationships/hyperlink" Target="https://ntp-odoo.com/web" TargetMode="External"/><Relationship Id="rId83" Type="http://schemas.openxmlformats.org/officeDocument/2006/relationships/hyperlink" Target="https://ntp-odoo.com/web" TargetMode="External"/><Relationship Id="rId88" Type="http://schemas.openxmlformats.org/officeDocument/2006/relationships/hyperlink" Target="https://ntp-odoo.com/web" TargetMode="External"/><Relationship Id="rId111" Type="http://schemas.openxmlformats.org/officeDocument/2006/relationships/hyperlink" Target="https://ntp-odoo.com/web" TargetMode="External"/><Relationship Id="rId132" Type="http://schemas.openxmlformats.org/officeDocument/2006/relationships/hyperlink" Target="https://ntp-odoo.com/web" TargetMode="External"/><Relationship Id="rId153" Type="http://schemas.openxmlformats.org/officeDocument/2006/relationships/hyperlink" Target="https://ntp-odoo.com/web" TargetMode="External"/><Relationship Id="rId15" Type="http://schemas.openxmlformats.org/officeDocument/2006/relationships/hyperlink" Target="https://ntp-odoo.com/web" TargetMode="External"/><Relationship Id="rId36" Type="http://schemas.openxmlformats.org/officeDocument/2006/relationships/hyperlink" Target="https://ntp-odoo.com/web" TargetMode="External"/><Relationship Id="rId57" Type="http://schemas.openxmlformats.org/officeDocument/2006/relationships/hyperlink" Target="https://ntp-odoo.com/web" TargetMode="External"/><Relationship Id="rId106" Type="http://schemas.openxmlformats.org/officeDocument/2006/relationships/hyperlink" Target="https://ntp-odoo.com/web" TargetMode="External"/><Relationship Id="rId127" Type="http://schemas.openxmlformats.org/officeDocument/2006/relationships/hyperlink" Target="https://ntp-odoo.com/web" TargetMode="External"/><Relationship Id="rId10" Type="http://schemas.openxmlformats.org/officeDocument/2006/relationships/hyperlink" Target="https://ntp-odoo.com/web" TargetMode="External"/><Relationship Id="rId31" Type="http://schemas.openxmlformats.org/officeDocument/2006/relationships/hyperlink" Target="https://ntp-odoo.com/web" TargetMode="External"/><Relationship Id="rId52" Type="http://schemas.openxmlformats.org/officeDocument/2006/relationships/hyperlink" Target="https://ntp-odoo.com/web" TargetMode="External"/><Relationship Id="rId73" Type="http://schemas.openxmlformats.org/officeDocument/2006/relationships/hyperlink" Target="https://ntp-odoo.com/web" TargetMode="External"/><Relationship Id="rId78" Type="http://schemas.openxmlformats.org/officeDocument/2006/relationships/hyperlink" Target="https://ntp-odoo.com/web" TargetMode="External"/><Relationship Id="rId94" Type="http://schemas.openxmlformats.org/officeDocument/2006/relationships/hyperlink" Target="https://ntp-odoo.com/web" TargetMode="External"/><Relationship Id="rId99" Type="http://schemas.openxmlformats.org/officeDocument/2006/relationships/hyperlink" Target="https://ntp-odoo.com/web" TargetMode="External"/><Relationship Id="rId101" Type="http://schemas.openxmlformats.org/officeDocument/2006/relationships/hyperlink" Target="https://ntp-odoo.com/web" TargetMode="External"/><Relationship Id="rId122" Type="http://schemas.openxmlformats.org/officeDocument/2006/relationships/hyperlink" Target="https://ntp-odoo.com/web" TargetMode="External"/><Relationship Id="rId143" Type="http://schemas.openxmlformats.org/officeDocument/2006/relationships/hyperlink" Target="https://ntp-odoo.com/web" TargetMode="External"/><Relationship Id="rId148" Type="http://schemas.openxmlformats.org/officeDocument/2006/relationships/hyperlink" Target="https://ntp-odoo.com/web" TargetMode="External"/><Relationship Id="rId4" Type="http://schemas.openxmlformats.org/officeDocument/2006/relationships/hyperlink" Target="https://ntp-odoo.com/web" TargetMode="External"/><Relationship Id="rId9" Type="http://schemas.openxmlformats.org/officeDocument/2006/relationships/hyperlink" Target="https://ntp-odoo.com/web" TargetMode="External"/><Relationship Id="rId26" Type="http://schemas.openxmlformats.org/officeDocument/2006/relationships/hyperlink" Target="https://ntp-odoo.com/web" TargetMode="External"/><Relationship Id="rId47" Type="http://schemas.openxmlformats.org/officeDocument/2006/relationships/hyperlink" Target="https://ntp-odoo.com/web" TargetMode="External"/><Relationship Id="rId68" Type="http://schemas.openxmlformats.org/officeDocument/2006/relationships/hyperlink" Target="https://ntp-odoo.com/web" TargetMode="External"/><Relationship Id="rId89" Type="http://schemas.openxmlformats.org/officeDocument/2006/relationships/hyperlink" Target="https://ntp-odoo.com/web" TargetMode="External"/><Relationship Id="rId112" Type="http://schemas.openxmlformats.org/officeDocument/2006/relationships/hyperlink" Target="https://ntp-odoo.com/web" TargetMode="External"/><Relationship Id="rId133" Type="http://schemas.openxmlformats.org/officeDocument/2006/relationships/hyperlink" Target="https://ntp-odoo.com/web" TargetMode="External"/><Relationship Id="rId154" Type="http://schemas.openxmlformats.org/officeDocument/2006/relationships/hyperlink" Target="https://ntp-odoo.com/web" TargetMode="External"/><Relationship Id="rId16" Type="http://schemas.openxmlformats.org/officeDocument/2006/relationships/hyperlink" Target="https://ntp-odoo.com/web" TargetMode="External"/><Relationship Id="rId37" Type="http://schemas.openxmlformats.org/officeDocument/2006/relationships/hyperlink" Target="https://ntp-odoo.com/web" TargetMode="External"/><Relationship Id="rId58" Type="http://schemas.openxmlformats.org/officeDocument/2006/relationships/hyperlink" Target="https://ntp-odoo.com/web" TargetMode="External"/><Relationship Id="rId79" Type="http://schemas.openxmlformats.org/officeDocument/2006/relationships/hyperlink" Target="https://ntp-odoo.com/web" TargetMode="External"/><Relationship Id="rId102" Type="http://schemas.openxmlformats.org/officeDocument/2006/relationships/hyperlink" Target="https://ntp-odoo.com/web" TargetMode="External"/><Relationship Id="rId123" Type="http://schemas.openxmlformats.org/officeDocument/2006/relationships/hyperlink" Target="https://ntp-odoo.com/web" TargetMode="External"/><Relationship Id="rId144" Type="http://schemas.openxmlformats.org/officeDocument/2006/relationships/hyperlink" Target="https://ntp-odoo.com/web" TargetMode="External"/><Relationship Id="rId90" Type="http://schemas.openxmlformats.org/officeDocument/2006/relationships/hyperlink" Target="https://ntp-odoo.com/web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ntp-odoo.com/web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D5DCE-003D-8D4A-821B-FB771DD8EAE3}">
  <sheetPr>
    <tabColor rgb="FF92D050"/>
    <pageSetUpPr fitToPage="1"/>
  </sheetPr>
  <dimension ref="A5:AB95"/>
  <sheetViews>
    <sheetView showGridLines="0" tabSelected="1" zoomScaleNormal="100" zoomScaleSheetLayoutView="30" workbookViewId="0">
      <pane ySplit="10" topLeftCell="A79" activePane="bottomLeft" state="frozen"/>
      <selection pane="bottomLeft" activeCell="L88" sqref="L88"/>
    </sheetView>
  </sheetViews>
  <sheetFormatPr baseColWidth="10" defaultColWidth="11.5" defaultRowHeight="30" customHeight="1"/>
  <cols>
    <col min="1" max="1" width="7.33203125" style="66" customWidth="1"/>
    <col min="2" max="2" width="61.33203125" style="67" customWidth="1"/>
    <col min="3" max="5" width="12.83203125" style="66" customWidth="1"/>
    <col min="6" max="6" width="17.33203125" style="68" customWidth="1"/>
    <col min="7" max="7" width="14.6640625" style="69" customWidth="1"/>
    <col min="8" max="8" width="22" style="68" customWidth="1"/>
    <col min="9" max="9" width="12.83203125" style="68" customWidth="1"/>
    <col min="10" max="10" width="17.1640625" style="68" customWidth="1"/>
    <col min="11" max="11" width="17.33203125" style="68" customWidth="1"/>
    <col min="12" max="12" width="12.83203125" style="68" customWidth="1"/>
    <col min="13" max="13" width="37" style="68" customWidth="1"/>
    <col min="14" max="14" width="15.5" style="70" customWidth="1"/>
    <col min="15" max="15" width="12.83203125" style="71" customWidth="1"/>
    <col min="16" max="16" width="12.83203125" style="70" customWidth="1"/>
    <col min="17" max="17" width="12.6640625" style="70" customWidth="1"/>
    <col min="18" max="19" width="12.83203125" style="70" customWidth="1"/>
    <col min="20" max="20" width="14.5" style="70" customWidth="1"/>
    <col min="21" max="21" width="14.83203125" style="111" customWidth="1"/>
    <col min="22" max="22" width="23.5" style="111" customWidth="1"/>
    <col min="23" max="23" width="20" style="111" customWidth="1"/>
    <col min="24" max="24" width="21.1640625" style="72" bestFit="1" customWidth="1"/>
    <col min="25" max="25" width="19.5" style="66" bestFit="1" customWidth="1"/>
    <col min="26" max="26" width="15.33203125" style="66" bestFit="1" customWidth="1"/>
    <col min="27" max="27" width="14" style="66" bestFit="1" customWidth="1"/>
    <col min="28" max="49" width="8.1640625" style="66" customWidth="1"/>
    <col min="50" max="257" width="11.5" style="66"/>
    <col min="258" max="258" width="4.6640625" style="66" customWidth="1"/>
    <col min="259" max="259" width="10.1640625" style="66" customWidth="1"/>
    <col min="260" max="260" width="51.1640625" style="66" customWidth="1"/>
    <col min="261" max="264" width="17.6640625" style="66" customWidth="1"/>
    <col min="265" max="267" width="17.83203125" style="66" customWidth="1"/>
    <col min="268" max="268" width="0" style="66" hidden="1" customWidth="1"/>
    <col min="269" max="269" width="17.83203125" style="66" customWidth="1"/>
    <col min="270" max="270" width="22.83203125" style="66" customWidth="1"/>
    <col min="271" max="273" width="17.83203125" style="66" customWidth="1"/>
    <col min="274" max="274" width="15.6640625" style="66" customWidth="1"/>
    <col min="275" max="275" width="22.33203125" style="66" customWidth="1"/>
    <col min="276" max="278" width="17.83203125" style="66" customWidth="1"/>
    <col min="279" max="279" width="22.6640625" style="66" customWidth="1"/>
    <col min="280" max="280" width="20.33203125" style="66" customWidth="1"/>
    <col min="281" max="281" width="8.33203125" style="66" customWidth="1"/>
    <col min="282" max="282" width="28.5" style="66" bestFit="1" customWidth="1"/>
    <col min="283" max="513" width="11.5" style="66"/>
    <col min="514" max="514" width="4.6640625" style="66" customWidth="1"/>
    <col min="515" max="515" width="10.1640625" style="66" customWidth="1"/>
    <col min="516" max="516" width="51.1640625" style="66" customWidth="1"/>
    <col min="517" max="520" width="17.6640625" style="66" customWidth="1"/>
    <col min="521" max="523" width="17.83203125" style="66" customWidth="1"/>
    <col min="524" max="524" width="0" style="66" hidden="1" customWidth="1"/>
    <col min="525" max="525" width="17.83203125" style="66" customWidth="1"/>
    <col min="526" max="526" width="22.83203125" style="66" customWidth="1"/>
    <col min="527" max="529" width="17.83203125" style="66" customWidth="1"/>
    <col min="530" max="530" width="15.6640625" style="66" customWidth="1"/>
    <col min="531" max="531" width="22.33203125" style="66" customWidth="1"/>
    <col min="532" max="534" width="17.83203125" style="66" customWidth="1"/>
    <col min="535" max="535" width="22.6640625" style="66" customWidth="1"/>
    <col min="536" max="536" width="20.33203125" style="66" customWidth="1"/>
    <col min="537" max="537" width="8.33203125" style="66" customWidth="1"/>
    <col min="538" max="538" width="28.5" style="66" bestFit="1" customWidth="1"/>
    <col min="539" max="769" width="11.5" style="66"/>
    <col min="770" max="770" width="4.6640625" style="66" customWidth="1"/>
    <col min="771" max="771" width="10.1640625" style="66" customWidth="1"/>
    <col min="772" max="772" width="51.1640625" style="66" customWidth="1"/>
    <col min="773" max="776" width="17.6640625" style="66" customWidth="1"/>
    <col min="777" max="779" width="17.83203125" style="66" customWidth="1"/>
    <col min="780" max="780" width="0" style="66" hidden="1" customWidth="1"/>
    <col min="781" max="781" width="17.83203125" style="66" customWidth="1"/>
    <col min="782" max="782" width="22.83203125" style="66" customWidth="1"/>
    <col min="783" max="785" width="17.83203125" style="66" customWidth="1"/>
    <col min="786" max="786" width="15.6640625" style="66" customWidth="1"/>
    <col min="787" max="787" width="22.33203125" style="66" customWidth="1"/>
    <col min="788" max="790" width="17.83203125" style="66" customWidth="1"/>
    <col min="791" max="791" width="22.6640625" style="66" customWidth="1"/>
    <col min="792" max="792" width="20.33203125" style="66" customWidth="1"/>
    <col min="793" max="793" width="8.33203125" style="66" customWidth="1"/>
    <col min="794" max="794" width="28.5" style="66" bestFit="1" customWidth="1"/>
    <col min="795" max="1025" width="11.5" style="66"/>
    <col min="1026" max="1026" width="4.6640625" style="66" customWidth="1"/>
    <col min="1027" max="1027" width="10.1640625" style="66" customWidth="1"/>
    <col min="1028" max="1028" width="51.1640625" style="66" customWidth="1"/>
    <col min="1029" max="1032" width="17.6640625" style="66" customWidth="1"/>
    <col min="1033" max="1035" width="17.83203125" style="66" customWidth="1"/>
    <col min="1036" max="1036" width="0" style="66" hidden="1" customWidth="1"/>
    <col min="1037" max="1037" width="17.83203125" style="66" customWidth="1"/>
    <col min="1038" max="1038" width="22.83203125" style="66" customWidth="1"/>
    <col min="1039" max="1041" width="17.83203125" style="66" customWidth="1"/>
    <col min="1042" max="1042" width="15.6640625" style="66" customWidth="1"/>
    <col min="1043" max="1043" width="22.33203125" style="66" customWidth="1"/>
    <col min="1044" max="1046" width="17.83203125" style="66" customWidth="1"/>
    <col min="1047" max="1047" width="22.6640625" style="66" customWidth="1"/>
    <col min="1048" max="1048" width="20.33203125" style="66" customWidth="1"/>
    <col min="1049" max="1049" width="8.33203125" style="66" customWidth="1"/>
    <col min="1050" max="1050" width="28.5" style="66" bestFit="1" customWidth="1"/>
    <col min="1051" max="1281" width="11.5" style="66"/>
    <col min="1282" max="1282" width="4.6640625" style="66" customWidth="1"/>
    <col min="1283" max="1283" width="10.1640625" style="66" customWidth="1"/>
    <col min="1284" max="1284" width="51.1640625" style="66" customWidth="1"/>
    <col min="1285" max="1288" width="17.6640625" style="66" customWidth="1"/>
    <col min="1289" max="1291" width="17.83203125" style="66" customWidth="1"/>
    <col min="1292" max="1292" width="0" style="66" hidden="1" customWidth="1"/>
    <col min="1293" max="1293" width="17.83203125" style="66" customWidth="1"/>
    <col min="1294" max="1294" width="22.83203125" style="66" customWidth="1"/>
    <col min="1295" max="1297" width="17.83203125" style="66" customWidth="1"/>
    <col min="1298" max="1298" width="15.6640625" style="66" customWidth="1"/>
    <col min="1299" max="1299" width="22.33203125" style="66" customWidth="1"/>
    <col min="1300" max="1302" width="17.83203125" style="66" customWidth="1"/>
    <col min="1303" max="1303" width="22.6640625" style="66" customWidth="1"/>
    <col min="1304" max="1304" width="20.33203125" style="66" customWidth="1"/>
    <col min="1305" max="1305" width="8.33203125" style="66" customWidth="1"/>
    <col min="1306" max="1306" width="28.5" style="66" bestFit="1" customWidth="1"/>
    <col min="1307" max="1537" width="11.5" style="66"/>
    <col min="1538" max="1538" width="4.6640625" style="66" customWidth="1"/>
    <col min="1539" max="1539" width="10.1640625" style="66" customWidth="1"/>
    <col min="1540" max="1540" width="51.1640625" style="66" customWidth="1"/>
    <col min="1541" max="1544" width="17.6640625" style="66" customWidth="1"/>
    <col min="1545" max="1547" width="17.83203125" style="66" customWidth="1"/>
    <col min="1548" max="1548" width="0" style="66" hidden="1" customWidth="1"/>
    <col min="1549" max="1549" width="17.83203125" style="66" customWidth="1"/>
    <col min="1550" max="1550" width="22.83203125" style="66" customWidth="1"/>
    <col min="1551" max="1553" width="17.83203125" style="66" customWidth="1"/>
    <col min="1554" max="1554" width="15.6640625" style="66" customWidth="1"/>
    <col min="1555" max="1555" width="22.33203125" style="66" customWidth="1"/>
    <col min="1556" max="1558" width="17.83203125" style="66" customWidth="1"/>
    <col min="1559" max="1559" width="22.6640625" style="66" customWidth="1"/>
    <col min="1560" max="1560" width="20.33203125" style="66" customWidth="1"/>
    <col min="1561" max="1561" width="8.33203125" style="66" customWidth="1"/>
    <col min="1562" max="1562" width="28.5" style="66" bestFit="1" customWidth="1"/>
    <col min="1563" max="1793" width="11.5" style="66"/>
    <col min="1794" max="1794" width="4.6640625" style="66" customWidth="1"/>
    <col min="1795" max="1795" width="10.1640625" style="66" customWidth="1"/>
    <col min="1796" max="1796" width="51.1640625" style="66" customWidth="1"/>
    <col min="1797" max="1800" width="17.6640625" style="66" customWidth="1"/>
    <col min="1801" max="1803" width="17.83203125" style="66" customWidth="1"/>
    <col min="1804" max="1804" width="0" style="66" hidden="1" customWidth="1"/>
    <col min="1805" max="1805" width="17.83203125" style="66" customWidth="1"/>
    <col min="1806" max="1806" width="22.83203125" style="66" customWidth="1"/>
    <col min="1807" max="1809" width="17.83203125" style="66" customWidth="1"/>
    <col min="1810" max="1810" width="15.6640625" style="66" customWidth="1"/>
    <col min="1811" max="1811" width="22.33203125" style="66" customWidth="1"/>
    <col min="1812" max="1814" width="17.83203125" style="66" customWidth="1"/>
    <col min="1815" max="1815" width="22.6640625" style="66" customWidth="1"/>
    <col min="1816" max="1816" width="20.33203125" style="66" customWidth="1"/>
    <col min="1817" max="1817" width="8.33203125" style="66" customWidth="1"/>
    <col min="1818" max="1818" width="28.5" style="66" bestFit="1" customWidth="1"/>
    <col min="1819" max="2049" width="11.5" style="66"/>
    <col min="2050" max="2050" width="4.6640625" style="66" customWidth="1"/>
    <col min="2051" max="2051" width="10.1640625" style="66" customWidth="1"/>
    <col min="2052" max="2052" width="51.1640625" style="66" customWidth="1"/>
    <col min="2053" max="2056" width="17.6640625" style="66" customWidth="1"/>
    <col min="2057" max="2059" width="17.83203125" style="66" customWidth="1"/>
    <col min="2060" max="2060" width="0" style="66" hidden="1" customWidth="1"/>
    <col min="2061" max="2061" width="17.83203125" style="66" customWidth="1"/>
    <col min="2062" max="2062" width="22.83203125" style="66" customWidth="1"/>
    <col min="2063" max="2065" width="17.83203125" style="66" customWidth="1"/>
    <col min="2066" max="2066" width="15.6640625" style="66" customWidth="1"/>
    <col min="2067" max="2067" width="22.33203125" style="66" customWidth="1"/>
    <col min="2068" max="2070" width="17.83203125" style="66" customWidth="1"/>
    <col min="2071" max="2071" width="22.6640625" style="66" customWidth="1"/>
    <col min="2072" max="2072" width="20.33203125" style="66" customWidth="1"/>
    <col min="2073" max="2073" width="8.33203125" style="66" customWidth="1"/>
    <col min="2074" max="2074" width="28.5" style="66" bestFit="1" customWidth="1"/>
    <col min="2075" max="2305" width="11.5" style="66"/>
    <col min="2306" max="2306" width="4.6640625" style="66" customWidth="1"/>
    <col min="2307" max="2307" width="10.1640625" style="66" customWidth="1"/>
    <col min="2308" max="2308" width="51.1640625" style="66" customWidth="1"/>
    <col min="2309" max="2312" width="17.6640625" style="66" customWidth="1"/>
    <col min="2313" max="2315" width="17.83203125" style="66" customWidth="1"/>
    <col min="2316" max="2316" width="0" style="66" hidden="1" customWidth="1"/>
    <col min="2317" max="2317" width="17.83203125" style="66" customWidth="1"/>
    <col min="2318" max="2318" width="22.83203125" style="66" customWidth="1"/>
    <col min="2319" max="2321" width="17.83203125" style="66" customWidth="1"/>
    <col min="2322" max="2322" width="15.6640625" style="66" customWidth="1"/>
    <col min="2323" max="2323" width="22.33203125" style="66" customWidth="1"/>
    <col min="2324" max="2326" width="17.83203125" style="66" customWidth="1"/>
    <col min="2327" max="2327" width="22.6640625" style="66" customWidth="1"/>
    <col min="2328" max="2328" width="20.33203125" style="66" customWidth="1"/>
    <col min="2329" max="2329" width="8.33203125" style="66" customWidth="1"/>
    <col min="2330" max="2330" width="28.5" style="66" bestFit="1" customWidth="1"/>
    <col min="2331" max="2561" width="11.5" style="66"/>
    <col min="2562" max="2562" width="4.6640625" style="66" customWidth="1"/>
    <col min="2563" max="2563" width="10.1640625" style="66" customWidth="1"/>
    <col min="2564" max="2564" width="51.1640625" style="66" customWidth="1"/>
    <col min="2565" max="2568" width="17.6640625" style="66" customWidth="1"/>
    <col min="2569" max="2571" width="17.83203125" style="66" customWidth="1"/>
    <col min="2572" max="2572" width="0" style="66" hidden="1" customWidth="1"/>
    <col min="2573" max="2573" width="17.83203125" style="66" customWidth="1"/>
    <col min="2574" max="2574" width="22.83203125" style="66" customWidth="1"/>
    <col min="2575" max="2577" width="17.83203125" style="66" customWidth="1"/>
    <col min="2578" max="2578" width="15.6640625" style="66" customWidth="1"/>
    <col min="2579" max="2579" width="22.33203125" style="66" customWidth="1"/>
    <col min="2580" max="2582" width="17.83203125" style="66" customWidth="1"/>
    <col min="2583" max="2583" width="22.6640625" style="66" customWidth="1"/>
    <col min="2584" max="2584" width="20.33203125" style="66" customWidth="1"/>
    <col min="2585" max="2585" width="8.33203125" style="66" customWidth="1"/>
    <col min="2586" max="2586" width="28.5" style="66" bestFit="1" customWidth="1"/>
    <col min="2587" max="2817" width="11.5" style="66"/>
    <col min="2818" max="2818" width="4.6640625" style="66" customWidth="1"/>
    <col min="2819" max="2819" width="10.1640625" style="66" customWidth="1"/>
    <col min="2820" max="2820" width="51.1640625" style="66" customWidth="1"/>
    <col min="2821" max="2824" width="17.6640625" style="66" customWidth="1"/>
    <col min="2825" max="2827" width="17.83203125" style="66" customWidth="1"/>
    <col min="2828" max="2828" width="0" style="66" hidden="1" customWidth="1"/>
    <col min="2829" max="2829" width="17.83203125" style="66" customWidth="1"/>
    <col min="2830" max="2830" width="22.83203125" style="66" customWidth="1"/>
    <col min="2831" max="2833" width="17.83203125" style="66" customWidth="1"/>
    <col min="2834" max="2834" width="15.6640625" style="66" customWidth="1"/>
    <col min="2835" max="2835" width="22.33203125" style="66" customWidth="1"/>
    <col min="2836" max="2838" width="17.83203125" style="66" customWidth="1"/>
    <col min="2839" max="2839" width="22.6640625" style="66" customWidth="1"/>
    <col min="2840" max="2840" width="20.33203125" style="66" customWidth="1"/>
    <col min="2841" max="2841" width="8.33203125" style="66" customWidth="1"/>
    <col min="2842" max="2842" width="28.5" style="66" bestFit="1" customWidth="1"/>
    <col min="2843" max="3073" width="11.5" style="66"/>
    <col min="3074" max="3074" width="4.6640625" style="66" customWidth="1"/>
    <col min="3075" max="3075" width="10.1640625" style="66" customWidth="1"/>
    <col min="3076" max="3076" width="51.1640625" style="66" customWidth="1"/>
    <col min="3077" max="3080" width="17.6640625" style="66" customWidth="1"/>
    <col min="3081" max="3083" width="17.83203125" style="66" customWidth="1"/>
    <col min="3084" max="3084" width="0" style="66" hidden="1" customWidth="1"/>
    <col min="3085" max="3085" width="17.83203125" style="66" customWidth="1"/>
    <col min="3086" max="3086" width="22.83203125" style="66" customWidth="1"/>
    <col min="3087" max="3089" width="17.83203125" style="66" customWidth="1"/>
    <col min="3090" max="3090" width="15.6640625" style="66" customWidth="1"/>
    <col min="3091" max="3091" width="22.33203125" style="66" customWidth="1"/>
    <col min="3092" max="3094" width="17.83203125" style="66" customWidth="1"/>
    <col min="3095" max="3095" width="22.6640625" style="66" customWidth="1"/>
    <col min="3096" max="3096" width="20.33203125" style="66" customWidth="1"/>
    <col min="3097" max="3097" width="8.33203125" style="66" customWidth="1"/>
    <col min="3098" max="3098" width="28.5" style="66" bestFit="1" customWidth="1"/>
    <col min="3099" max="3329" width="11.5" style="66"/>
    <col min="3330" max="3330" width="4.6640625" style="66" customWidth="1"/>
    <col min="3331" max="3331" width="10.1640625" style="66" customWidth="1"/>
    <col min="3332" max="3332" width="51.1640625" style="66" customWidth="1"/>
    <col min="3333" max="3336" width="17.6640625" style="66" customWidth="1"/>
    <col min="3337" max="3339" width="17.83203125" style="66" customWidth="1"/>
    <col min="3340" max="3340" width="0" style="66" hidden="1" customWidth="1"/>
    <col min="3341" max="3341" width="17.83203125" style="66" customWidth="1"/>
    <col min="3342" max="3342" width="22.83203125" style="66" customWidth="1"/>
    <col min="3343" max="3345" width="17.83203125" style="66" customWidth="1"/>
    <col min="3346" max="3346" width="15.6640625" style="66" customWidth="1"/>
    <col min="3347" max="3347" width="22.33203125" style="66" customWidth="1"/>
    <col min="3348" max="3350" width="17.83203125" style="66" customWidth="1"/>
    <col min="3351" max="3351" width="22.6640625" style="66" customWidth="1"/>
    <col min="3352" max="3352" width="20.33203125" style="66" customWidth="1"/>
    <col min="3353" max="3353" width="8.33203125" style="66" customWidth="1"/>
    <col min="3354" max="3354" width="28.5" style="66" bestFit="1" customWidth="1"/>
    <col min="3355" max="3585" width="11.5" style="66"/>
    <col min="3586" max="3586" width="4.6640625" style="66" customWidth="1"/>
    <col min="3587" max="3587" width="10.1640625" style="66" customWidth="1"/>
    <col min="3588" max="3588" width="51.1640625" style="66" customWidth="1"/>
    <col min="3589" max="3592" width="17.6640625" style="66" customWidth="1"/>
    <col min="3593" max="3595" width="17.83203125" style="66" customWidth="1"/>
    <col min="3596" max="3596" width="0" style="66" hidden="1" customWidth="1"/>
    <col min="3597" max="3597" width="17.83203125" style="66" customWidth="1"/>
    <col min="3598" max="3598" width="22.83203125" style="66" customWidth="1"/>
    <col min="3599" max="3601" width="17.83203125" style="66" customWidth="1"/>
    <col min="3602" max="3602" width="15.6640625" style="66" customWidth="1"/>
    <col min="3603" max="3603" width="22.33203125" style="66" customWidth="1"/>
    <col min="3604" max="3606" width="17.83203125" style="66" customWidth="1"/>
    <col min="3607" max="3607" width="22.6640625" style="66" customWidth="1"/>
    <col min="3608" max="3608" width="20.33203125" style="66" customWidth="1"/>
    <col min="3609" max="3609" width="8.33203125" style="66" customWidth="1"/>
    <col min="3610" max="3610" width="28.5" style="66" bestFit="1" customWidth="1"/>
    <col min="3611" max="3841" width="11.5" style="66"/>
    <col min="3842" max="3842" width="4.6640625" style="66" customWidth="1"/>
    <col min="3843" max="3843" width="10.1640625" style="66" customWidth="1"/>
    <col min="3844" max="3844" width="51.1640625" style="66" customWidth="1"/>
    <col min="3845" max="3848" width="17.6640625" style="66" customWidth="1"/>
    <col min="3849" max="3851" width="17.83203125" style="66" customWidth="1"/>
    <col min="3852" max="3852" width="0" style="66" hidden="1" customWidth="1"/>
    <col min="3853" max="3853" width="17.83203125" style="66" customWidth="1"/>
    <col min="3854" max="3854" width="22.83203125" style="66" customWidth="1"/>
    <col min="3855" max="3857" width="17.83203125" style="66" customWidth="1"/>
    <col min="3858" max="3858" width="15.6640625" style="66" customWidth="1"/>
    <col min="3859" max="3859" width="22.33203125" style="66" customWidth="1"/>
    <col min="3860" max="3862" width="17.83203125" style="66" customWidth="1"/>
    <col min="3863" max="3863" width="22.6640625" style="66" customWidth="1"/>
    <col min="3864" max="3864" width="20.33203125" style="66" customWidth="1"/>
    <col min="3865" max="3865" width="8.33203125" style="66" customWidth="1"/>
    <col min="3866" max="3866" width="28.5" style="66" bestFit="1" customWidth="1"/>
    <col min="3867" max="4097" width="11.5" style="66"/>
    <col min="4098" max="4098" width="4.6640625" style="66" customWidth="1"/>
    <col min="4099" max="4099" width="10.1640625" style="66" customWidth="1"/>
    <col min="4100" max="4100" width="51.1640625" style="66" customWidth="1"/>
    <col min="4101" max="4104" width="17.6640625" style="66" customWidth="1"/>
    <col min="4105" max="4107" width="17.83203125" style="66" customWidth="1"/>
    <col min="4108" max="4108" width="0" style="66" hidden="1" customWidth="1"/>
    <col min="4109" max="4109" width="17.83203125" style="66" customWidth="1"/>
    <col min="4110" max="4110" width="22.83203125" style="66" customWidth="1"/>
    <col min="4111" max="4113" width="17.83203125" style="66" customWidth="1"/>
    <col min="4114" max="4114" width="15.6640625" style="66" customWidth="1"/>
    <col min="4115" max="4115" width="22.33203125" style="66" customWidth="1"/>
    <col min="4116" max="4118" width="17.83203125" style="66" customWidth="1"/>
    <col min="4119" max="4119" width="22.6640625" style="66" customWidth="1"/>
    <col min="4120" max="4120" width="20.33203125" style="66" customWidth="1"/>
    <col min="4121" max="4121" width="8.33203125" style="66" customWidth="1"/>
    <col min="4122" max="4122" width="28.5" style="66" bestFit="1" customWidth="1"/>
    <col min="4123" max="4353" width="11.5" style="66"/>
    <col min="4354" max="4354" width="4.6640625" style="66" customWidth="1"/>
    <col min="4355" max="4355" width="10.1640625" style="66" customWidth="1"/>
    <col min="4356" max="4356" width="51.1640625" style="66" customWidth="1"/>
    <col min="4357" max="4360" width="17.6640625" style="66" customWidth="1"/>
    <col min="4361" max="4363" width="17.83203125" style="66" customWidth="1"/>
    <col min="4364" max="4364" width="0" style="66" hidden="1" customWidth="1"/>
    <col min="4365" max="4365" width="17.83203125" style="66" customWidth="1"/>
    <col min="4366" max="4366" width="22.83203125" style="66" customWidth="1"/>
    <col min="4367" max="4369" width="17.83203125" style="66" customWidth="1"/>
    <col min="4370" max="4370" width="15.6640625" style="66" customWidth="1"/>
    <col min="4371" max="4371" width="22.33203125" style="66" customWidth="1"/>
    <col min="4372" max="4374" width="17.83203125" style="66" customWidth="1"/>
    <col min="4375" max="4375" width="22.6640625" style="66" customWidth="1"/>
    <col min="4376" max="4376" width="20.33203125" style="66" customWidth="1"/>
    <col min="4377" max="4377" width="8.33203125" style="66" customWidth="1"/>
    <col min="4378" max="4378" width="28.5" style="66" bestFit="1" customWidth="1"/>
    <col min="4379" max="4609" width="11.5" style="66"/>
    <col min="4610" max="4610" width="4.6640625" style="66" customWidth="1"/>
    <col min="4611" max="4611" width="10.1640625" style="66" customWidth="1"/>
    <col min="4612" max="4612" width="51.1640625" style="66" customWidth="1"/>
    <col min="4613" max="4616" width="17.6640625" style="66" customWidth="1"/>
    <col min="4617" max="4619" width="17.83203125" style="66" customWidth="1"/>
    <col min="4620" max="4620" width="0" style="66" hidden="1" customWidth="1"/>
    <col min="4621" max="4621" width="17.83203125" style="66" customWidth="1"/>
    <col min="4622" max="4622" width="22.83203125" style="66" customWidth="1"/>
    <col min="4623" max="4625" width="17.83203125" style="66" customWidth="1"/>
    <col min="4626" max="4626" width="15.6640625" style="66" customWidth="1"/>
    <col min="4627" max="4627" width="22.33203125" style="66" customWidth="1"/>
    <col min="4628" max="4630" width="17.83203125" style="66" customWidth="1"/>
    <col min="4631" max="4631" width="22.6640625" style="66" customWidth="1"/>
    <col min="4632" max="4632" width="20.33203125" style="66" customWidth="1"/>
    <col min="4633" max="4633" width="8.33203125" style="66" customWidth="1"/>
    <col min="4634" max="4634" width="28.5" style="66" bestFit="1" customWidth="1"/>
    <col min="4635" max="4865" width="11.5" style="66"/>
    <col min="4866" max="4866" width="4.6640625" style="66" customWidth="1"/>
    <col min="4867" max="4867" width="10.1640625" style="66" customWidth="1"/>
    <col min="4868" max="4868" width="51.1640625" style="66" customWidth="1"/>
    <col min="4869" max="4872" width="17.6640625" style="66" customWidth="1"/>
    <col min="4873" max="4875" width="17.83203125" style="66" customWidth="1"/>
    <col min="4876" max="4876" width="0" style="66" hidden="1" customWidth="1"/>
    <col min="4877" max="4877" width="17.83203125" style="66" customWidth="1"/>
    <col min="4878" max="4878" width="22.83203125" style="66" customWidth="1"/>
    <col min="4879" max="4881" width="17.83203125" style="66" customWidth="1"/>
    <col min="4882" max="4882" width="15.6640625" style="66" customWidth="1"/>
    <col min="4883" max="4883" width="22.33203125" style="66" customWidth="1"/>
    <col min="4884" max="4886" width="17.83203125" style="66" customWidth="1"/>
    <col min="4887" max="4887" width="22.6640625" style="66" customWidth="1"/>
    <col min="4888" max="4888" width="20.33203125" style="66" customWidth="1"/>
    <col min="4889" max="4889" width="8.33203125" style="66" customWidth="1"/>
    <col min="4890" max="4890" width="28.5" style="66" bestFit="1" customWidth="1"/>
    <col min="4891" max="5121" width="11.5" style="66"/>
    <col min="5122" max="5122" width="4.6640625" style="66" customWidth="1"/>
    <col min="5123" max="5123" width="10.1640625" style="66" customWidth="1"/>
    <col min="5124" max="5124" width="51.1640625" style="66" customWidth="1"/>
    <col min="5125" max="5128" width="17.6640625" style="66" customWidth="1"/>
    <col min="5129" max="5131" width="17.83203125" style="66" customWidth="1"/>
    <col min="5132" max="5132" width="0" style="66" hidden="1" customWidth="1"/>
    <col min="5133" max="5133" width="17.83203125" style="66" customWidth="1"/>
    <col min="5134" max="5134" width="22.83203125" style="66" customWidth="1"/>
    <col min="5135" max="5137" width="17.83203125" style="66" customWidth="1"/>
    <col min="5138" max="5138" width="15.6640625" style="66" customWidth="1"/>
    <col min="5139" max="5139" width="22.33203125" style="66" customWidth="1"/>
    <col min="5140" max="5142" width="17.83203125" style="66" customWidth="1"/>
    <col min="5143" max="5143" width="22.6640625" style="66" customWidth="1"/>
    <col min="5144" max="5144" width="20.33203125" style="66" customWidth="1"/>
    <col min="5145" max="5145" width="8.33203125" style="66" customWidth="1"/>
    <col min="5146" max="5146" width="28.5" style="66" bestFit="1" customWidth="1"/>
    <col min="5147" max="5377" width="11.5" style="66"/>
    <col min="5378" max="5378" width="4.6640625" style="66" customWidth="1"/>
    <col min="5379" max="5379" width="10.1640625" style="66" customWidth="1"/>
    <col min="5380" max="5380" width="51.1640625" style="66" customWidth="1"/>
    <col min="5381" max="5384" width="17.6640625" style="66" customWidth="1"/>
    <col min="5385" max="5387" width="17.83203125" style="66" customWidth="1"/>
    <col min="5388" max="5388" width="0" style="66" hidden="1" customWidth="1"/>
    <col min="5389" max="5389" width="17.83203125" style="66" customWidth="1"/>
    <col min="5390" max="5390" width="22.83203125" style="66" customWidth="1"/>
    <col min="5391" max="5393" width="17.83203125" style="66" customWidth="1"/>
    <col min="5394" max="5394" width="15.6640625" style="66" customWidth="1"/>
    <col min="5395" max="5395" width="22.33203125" style="66" customWidth="1"/>
    <col min="5396" max="5398" width="17.83203125" style="66" customWidth="1"/>
    <col min="5399" max="5399" width="22.6640625" style="66" customWidth="1"/>
    <col min="5400" max="5400" width="20.33203125" style="66" customWidth="1"/>
    <col min="5401" max="5401" width="8.33203125" style="66" customWidth="1"/>
    <col min="5402" max="5402" width="28.5" style="66" bestFit="1" customWidth="1"/>
    <col min="5403" max="5633" width="11.5" style="66"/>
    <col min="5634" max="5634" width="4.6640625" style="66" customWidth="1"/>
    <col min="5635" max="5635" width="10.1640625" style="66" customWidth="1"/>
    <col min="5636" max="5636" width="51.1640625" style="66" customWidth="1"/>
    <col min="5637" max="5640" width="17.6640625" style="66" customWidth="1"/>
    <col min="5641" max="5643" width="17.83203125" style="66" customWidth="1"/>
    <col min="5644" max="5644" width="0" style="66" hidden="1" customWidth="1"/>
    <col min="5645" max="5645" width="17.83203125" style="66" customWidth="1"/>
    <col min="5646" max="5646" width="22.83203125" style="66" customWidth="1"/>
    <col min="5647" max="5649" width="17.83203125" style="66" customWidth="1"/>
    <col min="5650" max="5650" width="15.6640625" style="66" customWidth="1"/>
    <col min="5651" max="5651" width="22.33203125" style="66" customWidth="1"/>
    <col min="5652" max="5654" width="17.83203125" style="66" customWidth="1"/>
    <col min="5655" max="5655" width="22.6640625" style="66" customWidth="1"/>
    <col min="5656" max="5656" width="20.33203125" style="66" customWidth="1"/>
    <col min="5657" max="5657" width="8.33203125" style="66" customWidth="1"/>
    <col min="5658" max="5658" width="28.5" style="66" bestFit="1" customWidth="1"/>
    <col min="5659" max="5889" width="11.5" style="66"/>
    <col min="5890" max="5890" width="4.6640625" style="66" customWidth="1"/>
    <col min="5891" max="5891" width="10.1640625" style="66" customWidth="1"/>
    <col min="5892" max="5892" width="51.1640625" style="66" customWidth="1"/>
    <col min="5893" max="5896" width="17.6640625" style="66" customWidth="1"/>
    <col min="5897" max="5899" width="17.83203125" style="66" customWidth="1"/>
    <col min="5900" max="5900" width="0" style="66" hidden="1" customWidth="1"/>
    <col min="5901" max="5901" width="17.83203125" style="66" customWidth="1"/>
    <col min="5902" max="5902" width="22.83203125" style="66" customWidth="1"/>
    <col min="5903" max="5905" width="17.83203125" style="66" customWidth="1"/>
    <col min="5906" max="5906" width="15.6640625" style="66" customWidth="1"/>
    <col min="5907" max="5907" width="22.33203125" style="66" customWidth="1"/>
    <col min="5908" max="5910" width="17.83203125" style="66" customWidth="1"/>
    <col min="5911" max="5911" width="22.6640625" style="66" customWidth="1"/>
    <col min="5912" max="5912" width="20.33203125" style="66" customWidth="1"/>
    <col min="5913" max="5913" width="8.33203125" style="66" customWidth="1"/>
    <col min="5914" max="5914" width="28.5" style="66" bestFit="1" customWidth="1"/>
    <col min="5915" max="6145" width="11.5" style="66"/>
    <col min="6146" max="6146" width="4.6640625" style="66" customWidth="1"/>
    <col min="6147" max="6147" width="10.1640625" style="66" customWidth="1"/>
    <col min="6148" max="6148" width="51.1640625" style="66" customWidth="1"/>
    <col min="6149" max="6152" width="17.6640625" style="66" customWidth="1"/>
    <col min="6153" max="6155" width="17.83203125" style="66" customWidth="1"/>
    <col min="6156" max="6156" width="0" style="66" hidden="1" customWidth="1"/>
    <col min="6157" max="6157" width="17.83203125" style="66" customWidth="1"/>
    <col min="6158" max="6158" width="22.83203125" style="66" customWidth="1"/>
    <col min="6159" max="6161" width="17.83203125" style="66" customWidth="1"/>
    <col min="6162" max="6162" width="15.6640625" style="66" customWidth="1"/>
    <col min="6163" max="6163" width="22.33203125" style="66" customWidth="1"/>
    <col min="6164" max="6166" width="17.83203125" style="66" customWidth="1"/>
    <col min="6167" max="6167" width="22.6640625" style="66" customWidth="1"/>
    <col min="6168" max="6168" width="20.33203125" style="66" customWidth="1"/>
    <col min="6169" max="6169" width="8.33203125" style="66" customWidth="1"/>
    <col min="6170" max="6170" width="28.5" style="66" bestFit="1" customWidth="1"/>
    <col min="6171" max="6401" width="11.5" style="66"/>
    <col min="6402" max="6402" width="4.6640625" style="66" customWidth="1"/>
    <col min="6403" max="6403" width="10.1640625" style="66" customWidth="1"/>
    <col min="6404" max="6404" width="51.1640625" style="66" customWidth="1"/>
    <col min="6405" max="6408" width="17.6640625" style="66" customWidth="1"/>
    <col min="6409" max="6411" width="17.83203125" style="66" customWidth="1"/>
    <col min="6412" max="6412" width="0" style="66" hidden="1" customWidth="1"/>
    <col min="6413" max="6413" width="17.83203125" style="66" customWidth="1"/>
    <col min="6414" max="6414" width="22.83203125" style="66" customWidth="1"/>
    <col min="6415" max="6417" width="17.83203125" style="66" customWidth="1"/>
    <col min="6418" max="6418" width="15.6640625" style="66" customWidth="1"/>
    <col min="6419" max="6419" width="22.33203125" style="66" customWidth="1"/>
    <col min="6420" max="6422" width="17.83203125" style="66" customWidth="1"/>
    <col min="6423" max="6423" width="22.6640625" style="66" customWidth="1"/>
    <col min="6424" max="6424" width="20.33203125" style="66" customWidth="1"/>
    <col min="6425" max="6425" width="8.33203125" style="66" customWidth="1"/>
    <col min="6426" max="6426" width="28.5" style="66" bestFit="1" customWidth="1"/>
    <col min="6427" max="6657" width="11.5" style="66"/>
    <col min="6658" max="6658" width="4.6640625" style="66" customWidth="1"/>
    <col min="6659" max="6659" width="10.1640625" style="66" customWidth="1"/>
    <col min="6660" max="6660" width="51.1640625" style="66" customWidth="1"/>
    <col min="6661" max="6664" width="17.6640625" style="66" customWidth="1"/>
    <col min="6665" max="6667" width="17.83203125" style="66" customWidth="1"/>
    <col min="6668" max="6668" width="0" style="66" hidden="1" customWidth="1"/>
    <col min="6669" max="6669" width="17.83203125" style="66" customWidth="1"/>
    <col min="6670" max="6670" width="22.83203125" style="66" customWidth="1"/>
    <col min="6671" max="6673" width="17.83203125" style="66" customWidth="1"/>
    <col min="6674" max="6674" width="15.6640625" style="66" customWidth="1"/>
    <col min="6675" max="6675" width="22.33203125" style="66" customWidth="1"/>
    <col min="6676" max="6678" width="17.83203125" style="66" customWidth="1"/>
    <col min="6679" max="6679" width="22.6640625" style="66" customWidth="1"/>
    <col min="6680" max="6680" width="20.33203125" style="66" customWidth="1"/>
    <col min="6681" max="6681" width="8.33203125" style="66" customWidth="1"/>
    <col min="6682" max="6682" width="28.5" style="66" bestFit="1" customWidth="1"/>
    <col min="6683" max="6913" width="11.5" style="66"/>
    <col min="6914" max="6914" width="4.6640625" style="66" customWidth="1"/>
    <col min="6915" max="6915" width="10.1640625" style="66" customWidth="1"/>
    <col min="6916" max="6916" width="51.1640625" style="66" customWidth="1"/>
    <col min="6917" max="6920" width="17.6640625" style="66" customWidth="1"/>
    <col min="6921" max="6923" width="17.83203125" style="66" customWidth="1"/>
    <col min="6924" max="6924" width="0" style="66" hidden="1" customWidth="1"/>
    <col min="6925" max="6925" width="17.83203125" style="66" customWidth="1"/>
    <col min="6926" max="6926" width="22.83203125" style="66" customWidth="1"/>
    <col min="6927" max="6929" width="17.83203125" style="66" customWidth="1"/>
    <col min="6930" max="6930" width="15.6640625" style="66" customWidth="1"/>
    <col min="6931" max="6931" width="22.33203125" style="66" customWidth="1"/>
    <col min="6932" max="6934" width="17.83203125" style="66" customWidth="1"/>
    <col min="6935" max="6935" width="22.6640625" style="66" customWidth="1"/>
    <col min="6936" max="6936" width="20.33203125" style="66" customWidth="1"/>
    <col min="6937" max="6937" width="8.33203125" style="66" customWidth="1"/>
    <col min="6938" max="6938" width="28.5" style="66" bestFit="1" customWidth="1"/>
    <col min="6939" max="7169" width="11.5" style="66"/>
    <col min="7170" max="7170" width="4.6640625" style="66" customWidth="1"/>
    <col min="7171" max="7171" width="10.1640625" style="66" customWidth="1"/>
    <col min="7172" max="7172" width="51.1640625" style="66" customWidth="1"/>
    <col min="7173" max="7176" width="17.6640625" style="66" customWidth="1"/>
    <col min="7177" max="7179" width="17.83203125" style="66" customWidth="1"/>
    <col min="7180" max="7180" width="0" style="66" hidden="1" customWidth="1"/>
    <col min="7181" max="7181" width="17.83203125" style="66" customWidth="1"/>
    <col min="7182" max="7182" width="22.83203125" style="66" customWidth="1"/>
    <col min="7183" max="7185" width="17.83203125" style="66" customWidth="1"/>
    <col min="7186" max="7186" width="15.6640625" style="66" customWidth="1"/>
    <col min="7187" max="7187" width="22.33203125" style="66" customWidth="1"/>
    <col min="7188" max="7190" width="17.83203125" style="66" customWidth="1"/>
    <col min="7191" max="7191" width="22.6640625" style="66" customWidth="1"/>
    <col min="7192" max="7192" width="20.33203125" style="66" customWidth="1"/>
    <col min="7193" max="7193" width="8.33203125" style="66" customWidth="1"/>
    <col min="7194" max="7194" width="28.5" style="66" bestFit="1" customWidth="1"/>
    <col min="7195" max="7425" width="11.5" style="66"/>
    <col min="7426" max="7426" width="4.6640625" style="66" customWidth="1"/>
    <col min="7427" max="7427" width="10.1640625" style="66" customWidth="1"/>
    <col min="7428" max="7428" width="51.1640625" style="66" customWidth="1"/>
    <col min="7429" max="7432" width="17.6640625" style="66" customWidth="1"/>
    <col min="7433" max="7435" width="17.83203125" style="66" customWidth="1"/>
    <col min="7436" max="7436" width="0" style="66" hidden="1" customWidth="1"/>
    <col min="7437" max="7437" width="17.83203125" style="66" customWidth="1"/>
    <col min="7438" max="7438" width="22.83203125" style="66" customWidth="1"/>
    <col min="7439" max="7441" width="17.83203125" style="66" customWidth="1"/>
    <col min="7442" max="7442" width="15.6640625" style="66" customWidth="1"/>
    <col min="7443" max="7443" width="22.33203125" style="66" customWidth="1"/>
    <col min="7444" max="7446" width="17.83203125" style="66" customWidth="1"/>
    <col min="7447" max="7447" width="22.6640625" style="66" customWidth="1"/>
    <col min="7448" max="7448" width="20.33203125" style="66" customWidth="1"/>
    <col min="7449" max="7449" width="8.33203125" style="66" customWidth="1"/>
    <col min="7450" max="7450" width="28.5" style="66" bestFit="1" customWidth="1"/>
    <col min="7451" max="7681" width="11.5" style="66"/>
    <col min="7682" max="7682" width="4.6640625" style="66" customWidth="1"/>
    <col min="7683" max="7683" width="10.1640625" style="66" customWidth="1"/>
    <col min="7684" max="7684" width="51.1640625" style="66" customWidth="1"/>
    <col min="7685" max="7688" width="17.6640625" style="66" customWidth="1"/>
    <col min="7689" max="7691" width="17.83203125" style="66" customWidth="1"/>
    <col min="7692" max="7692" width="0" style="66" hidden="1" customWidth="1"/>
    <col min="7693" max="7693" width="17.83203125" style="66" customWidth="1"/>
    <col min="7694" max="7694" width="22.83203125" style="66" customWidth="1"/>
    <col min="7695" max="7697" width="17.83203125" style="66" customWidth="1"/>
    <col min="7698" max="7698" width="15.6640625" style="66" customWidth="1"/>
    <col min="7699" max="7699" width="22.33203125" style="66" customWidth="1"/>
    <col min="7700" max="7702" width="17.83203125" style="66" customWidth="1"/>
    <col min="7703" max="7703" width="22.6640625" style="66" customWidth="1"/>
    <col min="7704" max="7704" width="20.33203125" style="66" customWidth="1"/>
    <col min="7705" max="7705" width="8.33203125" style="66" customWidth="1"/>
    <col min="7706" max="7706" width="28.5" style="66" bestFit="1" customWidth="1"/>
    <col min="7707" max="7937" width="11.5" style="66"/>
    <col min="7938" max="7938" width="4.6640625" style="66" customWidth="1"/>
    <col min="7939" max="7939" width="10.1640625" style="66" customWidth="1"/>
    <col min="7940" max="7940" width="51.1640625" style="66" customWidth="1"/>
    <col min="7941" max="7944" width="17.6640625" style="66" customWidth="1"/>
    <col min="7945" max="7947" width="17.83203125" style="66" customWidth="1"/>
    <col min="7948" max="7948" width="0" style="66" hidden="1" customWidth="1"/>
    <col min="7949" max="7949" width="17.83203125" style="66" customWidth="1"/>
    <col min="7950" max="7950" width="22.83203125" style="66" customWidth="1"/>
    <col min="7951" max="7953" width="17.83203125" style="66" customWidth="1"/>
    <col min="7954" max="7954" width="15.6640625" style="66" customWidth="1"/>
    <col min="7955" max="7955" width="22.33203125" style="66" customWidth="1"/>
    <col min="7956" max="7958" width="17.83203125" style="66" customWidth="1"/>
    <col min="7959" max="7959" width="22.6640625" style="66" customWidth="1"/>
    <col min="7960" max="7960" width="20.33203125" style="66" customWidth="1"/>
    <col min="7961" max="7961" width="8.33203125" style="66" customWidth="1"/>
    <col min="7962" max="7962" width="28.5" style="66" bestFit="1" customWidth="1"/>
    <col min="7963" max="8193" width="11.5" style="66"/>
    <col min="8194" max="8194" width="4.6640625" style="66" customWidth="1"/>
    <col min="8195" max="8195" width="10.1640625" style="66" customWidth="1"/>
    <col min="8196" max="8196" width="51.1640625" style="66" customWidth="1"/>
    <col min="8197" max="8200" width="17.6640625" style="66" customWidth="1"/>
    <col min="8201" max="8203" width="17.83203125" style="66" customWidth="1"/>
    <col min="8204" max="8204" width="0" style="66" hidden="1" customWidth="1"/>
    <col min="8205" max="8205" width="17.83203125" style="66" customWidth="1"/>
    <col min="8206" max="8206" width="22.83203125" style="66" customWidth="1"/>
    <col min="8207" max="8209" width="17.83203125" style="66" customWidth="1"/>
    <col min="8210" max="8210" width="15.6640625" style="66" customWidth="1"/>
    <col min="8211" max="8211" width="22.33203125" style="66" customWidth="1"/>
    <col min="8212" max="8214" width="17.83203125" style="66" customWidth="1"/>
    <col min="8215" max="8215" width="22.6640625" style="66" customWidth="1"/>
    <col min="8216" max="8216" width="20.33203125" style="66" customWidth="1"/>
    <col min="8217" max="8217" width="8.33203125" style="66" customWidth="1"/>
    <col min="8218" max="8218" width="28.5" style="66" bestFit="1" customWidth="1"/>
    <col min="8219" max="8449" width="11.5" style="66"/>
    <col min="8450" max="8450" width="4.6640625" style="66" customWidth="1"/>
    <col min="8451" max="8451" width="10.1640625" style="66" customWidth="1"/>
    <col min="8452" max="8452" width="51.1640625" style="66" customWidth="1"/>
    <col min="8453" max="8456" width="17.6640625" style="66" customWidth="1"/>
    <col min="8457" max="8459" width="17.83203125" style="66" customWidth="1"/>
    <col min="8460" max="8460" width="0" style="66" hidden="1" customWidth="1"/>
    <col min="8461" max="8461" width="17.83203125" style="66" customWidth="1"/>
    <col min="8462" max="8462" width="22.83203125" style="66" customWidth="1"/>
    <col min="8463" max="8465" width="17.83203125" style="66" customWidth="1"/>
    <col min="8466" max="8466" width="15.6640625" style="66" customWidth="1"/>
    <col min="8467" max="8467" width="22.33203125" style="66" customWidth="1"/>
    <col min="8468" max="8470" width="17.83203125" style="66" customWidth="1"/>
    <col min="8471" max="8471" width="22.6640625" style="66" customWidth="1"/>
    <col min="8472" max="8472" width="20.33203125" style="66" customWidth="1"/>
    <col min="8473" max="8473" width="8.33203125" style="66" customWidth="1"/>
    <col min="8474" max="8474" width="28.5" style="66" bestFit="1" customWidth="1"/>
    <col min="8475" max="8705" width="11.5" style="66"/>
    <col min="8706" max="8706" width="4.6640625" style="66" customWidth="1"/>
    <col min="8707" max="8707" width="10.1640625" style="66" customWidth="1"/>
    <col min="8708" max="8708" width="51.1640625" style="66" customWidth="1"/>
    <col min="8709" max="8712" width="17.6640625" style="66" customWidth="1"/>
    <col min="8713" max="8715" width="17.83203125" style="66" customWidth="1"/>
    <col min="8716" max="8716" width="0" style="66" hidden="1" customWidth="1"/>
    <col min="8717" max="8717" width="17.83203125" style="66" customWidth="1"/>
    <col min="8718" max="8718" width="22.83203125" style="66" customWidth="1"/>
    <col min="8719" max="8721" width="17.83203125" style="66" customWidth="1"/>
    <col min="8722" max="8722" width="15.6640625" style="66" customWidth="1"/>
    <col min="8723" max="8723" width="22.33203125" style="66" customWidth="1"/>
    <col min="8724" max="8726" width="17.83203125" style="66" customWidth="1"/>
    <col min="8727" max="8727" width="22.6640625" style="66" customWidth="1"/>
    <col min="8728" max="8728" width="20.33203125" style="66" customWidth="1"/>
    <col min="8729" max="8729" width="8.33203125" style="66" customWidth="1"/>
    <col min="8730" max="8730" width="28.5" style="66" bestFit="1" customWidth="1"/>
    <col min="8731" max="8961" width="11.5" style="66"/>
    <col min="8962" max="8962" width="4.6640625" style="66" customWidth="1"/>
    <col min="8963" max="8963" width="10.1640625" style="66" customWidth="1"/>
    <col min="8964" max="8964" width="51.1640625" style="66" customWidth="1"/>
    <col min="8965" max="8968" width="17.6640625" style="66" customWidth="1"/>
    <col min="8969" max="8971" width="17.83203125" style="66" customWidth="1"/>
    <col min="8972" max="8972" width="0" style="66" hidden="1" customWidth="1"/>
    <col min="8973" max="8973" width="17.83203125" style="66" customWidth="1"/>
    <col min="8974" max="8974" width="22.83203125" style="66" customWidth="1"/>
    <col min="8975" max="8977" width="17.83203125" style="66" customWidth="1"/>
    <col min="8978" max="8978" width="15.6640625" style="66" customWidth="1"/>
    <col min="8979" max="8979" width="22.33203125" style="66" customWidth="1"/>
    <col min="8980" max="8982" width="17.83203125" style="66" customWidth="1"/>
    <col min="8983" max="8983" width="22.6640625" style="66" customWidth="1"/>
    <col min="8984" max="8984" width="20.33203125" style="66" customWidth="1"/>
    <col min="8985" max="8985" width="8.33203125" style="66" customWidth="1"/>
    <col min="8986" max="8986" width="28.5" style="66" bestFit="1" customWidth="1"/>
    <col min="8987" max="9217" width="11.5" style="66"/>
    <col min="9218" max="9218" width="4.6640625" style="66" customWidth="1"/>
    <col min="9219" max="9219" width="10.1640625" style="66" customWidth="1"/>
    <col min="9220" max="9220" width="51.1640625" style="66" customWidth="1"/>
    <col min="9221" max="9224" width="17.6640625" style="66" customWidth="1"/>
    <col min="9225" max="9227" width="17.83203125" style="66" customWidth="1"/>
    <col min="9228" max="9228" width="0" style="66" hidden="1" customWidth="1"/>
    <col min="9229" max="9229" width="17.83203125" style="66" customWidth="1"/>
    <col min="9230" max="9230" width="22.83203125" style="66" customWidth="1"/>
    <col min="9231" max="9233" width="17.83203125" style="66" customWidth="1"/>
    <col min="9234" max="9234" width="15.6640625" style="66" customWidth="1"/>
    <col min="9235" max="9235" width="22.33203125" style="66" customWidth="1"/>
    <col min="9236" max="9238" width="17.83203125" style="66" customWidth="1"/>
    <col min="9239" max="9239" width="22.6640625" style="66" customWidth="1"/>
    <col min="9240" max="9240" width="20.33203125" style="66" customWidth="1"/>
    <col min="9241" max="9241" width="8.33203125" style="66" customWidth="1"/>
    <col min="9242" max="9242" width="28.5" style="66" bestFit="1" customWidth="1"/>
    <col min="9243" max="9473" width="11.5" style="66"/>
    <col min="9474" max="9474" width="4.6640625" style="66" customWidth="1"/>
    <col min="9475" max="9475" width="10.1640625" style="66" customWidth="1"/>
    <col min="9476" max="9476" width="51.1640625" style="66" customWidth="1"/>
    <col min="9477" max="9480" width="17.6640625" style="66" customWidth="1"/>
    <col min="9481" max="9483" width="17.83203125" style="66" customWidth="1"/>
    <col min="9484" max="9484" width="0" style="66" hidden="1" customWidth="1"/>
    <col min="9485" max="9485" width="17.83203125" style="66" customWidth="1"/>
    <col min="9486" max="9486" width="22.83203125" style="66" customWidth="1"/>
    <col min="9487" max="9489" width="17.83203125" style="66" customWidth="1"/>
    <col min="9490" max="9490" width="15.6640625" style="66" customWidth="1"/>
    <col min="9491" max="9491" width="22.33203125" style="66" customWidth="1"/>
    <col min="9492" max="9494" width="17.83203125" style="66" customWidth="1"/>
    <col min="9495" max="9495" width="22.6640625" style="66" customWidth="1"/>
    <col min="9496" max="9496" width="20.33203125" style="66" customWidth="1"/>
    <col min="9497" max="9497" width="8.33203125" style="66" customWidth="1"/>
    <col min="9498" max="9498" width="28.5" style="66" bestFit="1" customWidth="1"/>
    <col min="9499" max="9729" width="11.5" style="66"/>
    <col min="9730" max="9730" width="4.6640625" style="66" customWidth="1"/>
    <col min="9731" max="9731" width="10.1640625" style="66" customWidth="1"/>
    <col min="9732" max="9732" width="51.1640625" style="66" customWidth="1"/>
    <col min="9733" max="9736" width="17.6640625" style="66" customWidth="1"/>
    <col min="9737" max="9739" width="17.83203125" style="66" customWidth="1"/>
    <col min="9740" max="9740" width="0" style="66" hidden="1" customWidth="1"/>
    <col min="9741" max="9741" width="17.83203125" style="66" customWidth="1"/>
    <col min="9742" max="9742" width="22.83203125" style="66" customWidth="1"/>
    <col min="9743" max="9745" width="17.83203125" style="66" customWidth="1"/>
    <col min="9746" max="9746" width="15.6640625" style="66" customWidth="1"/>
    <col min="9747" max="9747" width="22.33203125" style="66" customWidth="1"/>
    <col min="9748" max="9750" width="17.83203125" style="66" customWidth="1"/>
    <col min="9751" max="9751" width="22.6640625" style="66" customWidth="1"/>
    <col min="9752" max="9752" width="20.33203125" style="66" customWidth="1"/>
    <col min="9753" max="9753" width="8.33203125" style="66" customWidth="1"/>
    <col min="9754" max="9754" width="28.5" style="66" bestFit="1" customWidth="1"/>
    <col min="9755" max="9985" width="11.5" style="66"/>
    <col min="9986" max="9986" width="4.6640625" style="66" customWidth="1"/>
    <col min="9987" max="9987" width="10.1640625" style="66" customWidth="1"/>
    <col min="9988" max="9988" width="51.1640625" style="66" customWidth="1"/>
    <col min="9989" max="9992" width="17.6640625" style="66" customWidth="1"/>
    <col min="9993" max="9995" width="17.83203125" style="66" customWidth="1"/>
    <col min="9996" max="9996" width="0" style="66" hidden="1" customWidth="1"/>
    <col min="9997" max="9997" width="17.83203125" style="66" customWidth="1"/>
    <col min="9998" max="9998" width="22.83203125" style="66" customWidth="1"/>
    <col min="9999" max="10001" width="17.83203125" style="66" customWidth="1"/>
    <col min="10002" max="10002" width="15.6640625" style="66" customWidth="1"/>
    <col min="10003" max="10003" width="22.33203125" style="66" customWidth="1"/>
    <col min="10004" max="10006" width="17.83203125" style="66" customWidth="1"/>
    <col min="10007" max="10007" width="22.6640625" style="66" customWidth="1"/>
    <col min="10008" max="10008" width="20.33203125" style="66" customWidth="1"/>
    <col min="10009" max="10009" width="8.33203125" style="66" customWidth="1"/>
    <col min="10010" max="10010" width="28.5" style="66" bestFit="1" customWidth="1"/>
    <col min="10011" max="10241" width="11.5" style="66"/>
    <col min="10242" max="10242" width="4.6640625" style="66" customWidth="1"/>
    <col min="10243" max="10243" width="10.1640625" style="66" customWidth="1"/>
    <col min="10244" max="10244" width="51.1640625" style="66" customWidth="1"/>
    <col min="10245" max="10248" width="17.6640625" style="66" customWidth="1"/>
    <col min="10249" max="10251" width="17.83203125" style="66" customWidth="1"/>
    <col min="10252" max="10252" width="0" style="66" hidden="1" customWidth="1"/>
    <col min="10253" max="10253" width="17.83203125" style="66" customWidth="1"/>
    <col min="10254" max="10254" width="22.83203125" style="66" customWidth="1"/>
    <col min="10255" max="10257" width="17.83203125" style="66" customWidth="1"/>
    <col min="10258" max="10258" width="15.6640625" style="66" customWidth="1"/>
    <col min="10259" max="10259" width="22.33203125" style="66" customWidth="1"/>
    <col min="10260" max="10262" width="17.83203125" style="66" customWidth="1"/>
    <col min="10263" max="10263" width="22.6640625" style="66" customWidth="1"/>
    <col min="10264" max="10264" width="20.33203125" style="66" customWidth="1"/>
    <col min="10265" max="10265" width="8.33203125" style="66" customWidth="1"/>
    <col min="10266" max="10266" width="28.5" style="66" bestFit="1" customWidth="1"/>
    <col min="10267" max="10497" width="11.5" style="66"/>
    <col min="10498" max="10498" width="4.6640625" style="66" customWidth="1"/>
    <col min="10499" max="10499" width="10.1640625" style="66" customWidth="1"/>
    <col min="10500" max="10500" width="51.1640625" style="66" customWidth="1"/>
    <col min="10501" max="10504" width="17.6640625" style="66" customWidth="1"/>
    <col min="10505" max="10507" width="17.83203125" style="66" customWidth="1"/>
    <col min="10508" max="10508" width="0" style="66" hidden="1" customWidth="1"/>
    <col min="10509" max="10509" width="17.83203125" style="66" customWidth="1"/>
    <col min="10510" max="10510" width="22.83203125" style="66" customWidth="1"/>
    <col min="10511" max="10513" width="17.83203125" style="66" customWidth="1"/>
    <col min="10514" max="10514" width="15.6640625" style="66" customWidth="1"/>
    <col min="10515" max="10515" width="22.33203125" style="66" customWidth="1"/>
    <col min="10516" max="10518" width="17.83203125" style="66" customWidth="1"/>
    <col min="10519" max="10519" width="22.6640625" style="66" customWidth="1"/>
    <col min="10520" max="10520" width="20.33203125" style="66" customWidth="1"/>
    <col min="10521" max="10521" width="8.33203125" style="66" customWidth="1"/>
    <col min="10522" max="10522" width="28.5" style="66" bestFit="1" customWidth="1"/>
    <col min="10523" max="10753" width="11.5" style="66"/>
    <col min="10754" max="10754" width="4.6640625" style="66" customWidth="1"/>
    <col min="10755" max="10755" width="10.1640625" style="66" customWidth="1"/>
    <col min="10756" max="10756" width="51.1640625" style="66" customWidth="1"/>
    <col min="10757" max="10760" width="17.6640625" style="66" customWidth="1"/>
    <col min="10761" max="10763" width="17.83203125" style="66" customWidth="1"/>
    <col min="10764" max="10764" width="0" style="66" hidden="1" customWidth="1"/>
    <col min="10765" max="10765" width="17.83203125" style="66" customWidth="1"/>
    <col min="10766" max="10766" width="22.83203125" style="66" customWidth="1"/>
    <col min="10767" max="10769" width="17.83203125" style="66" customWidth="1"/>
    <col min="10770" max="10770" width="15.6640625" style="66" customWidth="1"/>
    <col min="10771" max="10771" width="22.33203125" style="66" customWidth="1"/>
    <col min="10772" max="10774" width="17.83203125" style="66" customWidth="1"/>
    <col min="10775" max="10775" width="22.6640625" style="66" customWidth="1"/>
    <col min="10776" max="10776" width="20.33203125" style="66" customWidth="1"/>
    <col min="10777" max="10777" width="8.33203125" style="66" customWidth="1"/>
    <col min="10778" max="10778" width="28.5" style="66" bestFit="1" customWidth="1"/>
    <col min="10779" max="11009" width="11.5" style="66"/>
    <col min="11010" max="11010" width="4.6640625" style="66" customWidth="1"/>
    <col min="11011" max="11011" width="10.1640625" style="66" customWidth="1"/>
    <col min="11012" max="11012" width="51.1640625" style="66" customWidth="1"/>
    <col min="11013" max="11016" width="17.6640625" style="66" customWidth="1"/>
    <col min="11017" max="11019" width="17.83203125" style="66" customWidth="1"/>
    <col min="11020" max="11020" width="0" style="66" hidden="1" customWidth="1"/>
    <col min="11021" max="11021" width="17.83203125" style="66" customWidth="1"/>
    <col min="11022" max="11022" width="22.83203125" style="66" customWidth="1"/>
    <col min="11023" max="11025" width="17.83203125" style="66" customWidth="1"/>
    <col min="11026" max="11026" width="15.6640625" style="66" customWidth="1"/>
    <col min="11027" max="11027" width="22.33203125" style="66" customWidth="1"/>
    <col min="11028" max="11030" width="17.83203125" style="66" customWidth="1"/>
    <col min="11031" max="11031" width="22.6640625" style="66" customWidth="1"/>
    <col min="11032" max="11032" width="20.33203125" style="66" customWidth="1"/>
    <col min="11033" max="11033" width="8.33203125" style="66" customWidth="1"/>
    <col min="11034" max="11034" width="28.5" style="66" bestFit="1" customWidth="1"/>
    <col min="11035" max="11265" width="11.5" style="66"/>
    <col min="11266" max="11266" width="4.6640625" style="66" customWidth="1"/>
    <col min="11267" max="11267" width="10.1640625" style="66" customWidth="1"/>
    <col min="11268" max="11268" width="51.1640625" style="66" customWidth="1"/>
    <col min="11269" max="11272" width="17.6640625" style="66" customWidth="1"/>
    <col min="11273" max="11275" width="17.83203125" style="66" customWidth="1"/>
    <col min="11276" max="11276" width="0" style="66" hidden="1" customWidth="1"/>
    <col min="11277" max="11277" width="17.83203125" style="66" customWidth="1"/>
    <col min="11278" max="11278" width="22.83203125" style="66" customWidth="1"/>
    <col min="11279" max="11281" width="17.83203125" style="66" customWidth="1"/>
    <col min="11282" max="11282" width="15.6640625" style="66" customWidth="1"/>
    <col min="11283" max="11283" width="22.33203125" style="66" customWidth="1"/>
    <col min="11284" max="11286" width="17.83203125" style="66" customWidth="1"/>
    <col min="11287" max="11287" width="22.6640625" style="66" customWidth="1"/>
    <col min="11288" max="11288" width="20.33203125" style="66" customWidth="1"/>
    <col min="11289" max="11289" width="8.33203125" style="66" customWidth="1"/>
    <col min="11290" max="11290" width="28.5" style="66" bestFit="1" customWidth="1"/>
    <col min="11291" max="11521" width="11.5" style="66"/>
    <col min="11522" max="11522" width="4.6640625" style="66" customWidth="1"/>
    <col min="11523" max="11523" width="10.1640625" style="66" customWidth="1"/>
    <col min="11524" max="11524" width="51.1640625" style="66" customWidth="1"/>
    <col min="11525" max="11528" width="17.6640625" style="66" customWidth="1"/>
    <col min="11529" max="11531" width="17.83203125" style="66" customWidth="1"/>
    <col min="11532" max="11532" width="0" style="66" hidden="1" customWidth="1"/>
    <col min="11533" max="11533" width="17.83203125" style="66" customWidth="1"/>
    <col min="11534" max="11534" width="22.83203125" style="66" customWidth="1"/>
    <col min="11535" max="11537" width="17.83203125" style="66" customWidth="1"/>
    <col min="11538" max="11538" width="15.6640625" style="66" customWidth="1"/>
    <col min="11539" max="11539" width="22.33203125" style="66" customWidth="1"/>
    <col min="11540" max="11542" width="17.83203125" style="66" customWidth="1"/>
    <col min="11543" max="11543" width="22.6640625" style="66" customWidth="1"/>
    <col min="11544" max="11544" width="20.33203125" style="66" customWidth="1"/>
    <col min="11545" max="11545" width="8.33203125" style="66" customWidth="1"/>
    <col min="11546" max="11546" width="28.5" style="66" bestFit="1" customWidth="1"/>
    <col min="11547" max="11777" width="11.5" style="66"/>
    <col min="11778" max="11778" width="4.6640625" style="66" customWidth="1"/>
    <col min="11779" max="11779" width="10.1640625" style="66" customWidth="1"/>
    <col min="11780" max="11780" width="51.1640625" style="66" customWidth="1"/>
    <col min="11781" max="11784" width="17.6640625" style="66" customWidth="1"/>
    <col min="11785" max="11787" width="17.83203125" style="66" customWidth="1"/>
    <col min="11788" max="11788" width="0" style="66" hidden="1" customWidth="1"/>
    <col min="11789" max="11789" width="17.83203125" style="66" customWidth="1"/>
    <col min="11790" max="11790" width="22.83203125" style="66" customWidth="1"/>
    <col min="11791" max="11793" width="17.83203125" style="66" customWidth="1"/>
    <col min="11794" max="11794" width="15.6640625" style="66" customWidth="1"/>
    <col min="11795" max="11795" width="22.33203125" style="66" customWidth="1"/>
    <col min="11796" max="11798" width="17.83203125" style="66" customWidth="1"/>
    <col min="11799" max="11799" width="22.6640625" style="66" customWidth="1"/>
    <col min="11800" max="11800" width="20.33203125" style="66" customWidth="1"/>
    <col min="11801" max="11801" width="8.33203125" style="66" customWidth="1"/>
    <col min="11802" max="11802" width="28.5" style="66" bestFit="1" customWidth="1"/>
    <col min="11803" max="12033" width="11.5" style="66"/>
    <col min="12034" max="12034" width="4.6640625" style="66" customWidth="1"/>
    <col min="12035" max="12035" width="10.1640625" style="66" customWidth="1"/>
    <col min="12036" max="12036" width="51.1640625" style="66" customWidth="1"/>
    <col min="12037" max="12040" width="17.6640625" style="66" customWidth="1"/>
    <col min="12041" max="12043" width="17.83203125" style="66" customWidth="1"/>
    <col min="12044" max="12044" width="0" style="66" hidden="1" customWidth="1"/>
    <col min="12045" max="12045" width="17.83203125" style="66" customWidth="1"/>
    <col min="12046" max="12046" width="22.83203125" style="66" customWidth="1"/>
    <col min="12047" max="12049" width="17.83203125" style="66" customWidth="1"/>
    <col min="12050" max="12050" width="15.6640625" style="66" customWidth="1"/>
    <col min="12051" max="12051" width="22.33203125" style="66" customWidth="1"/>
    <col min="12052" max="12054" width="17.83203125" style="66" customWidth="1"/>
    <col min="12055" max="12055" width="22.6640625" style="66" customWidth="1"/>
    <col min="12056" max="12056" width="20.33203125" style="66" customWidth="1"/>
    <col min="12057" max="12057" width="8.33203125" style="66" customWidth="1"/>
    <col min="12058" max="12058" width="28.5" style="66" bestFit="1" customWidth="1"/>
    <col min="12059" max="12289" width="11.5" style="66"/>
    <col min="12290" max="12290" width="4.6640625" style="66" customWidth="1"/>
    <col min="12291" max="12291" width="10.1640625" style="66" customWidth="1"/>
    <col min="12292" max="12292" width="51.1640625" style="66" customWidth="1"/>
    <col min="12293" max="12296" width="17.6640625" style="66" customWidth="1"/>
    <col min="12297" max="12299" width="17.83203125" style="66" customWidth="1"/>
    <col min="12300" max="12300" width="0" style="66" hidden="1" customWidth="1"/>
    <col min="12301" max="12301" width="17.83203125" style="66" customWidth="1"/>
    <col min="12302" max="12302" width="22.83203125" style="66" customWidth="1"/>
    <col min="12303" max="12305" width="17.83203125" style="66" customWidth="1"/>
    <col min="12306" max="12306" width="15.6640625" style="66" customWidth="1"/>
    <col min="12307" max="12307" width="22.33203125" style="66" customWidth="1"/>
    <col min="12308" max="12310" width="17.83203125" style="66" customWidth="1"/>
    <col min="12311" max="12311" width="22.6640625" style="66" customWidth="1"/>
    <col min="12312" max="12312" width="20.33203125" style="66" customWidth="1"/>
    <col min="12313" max="12313" width="8.33203125" style="66" customWidth="1"/>
    <col min="12314" max="12314" width="28.5" style="66" bestFit="1" customWidth="1"/>
    <col min="12315" max="12545" width="11.5" style="66"/>
    <col min="12546" max="12546" width="4.6640625" style="66" customWidth="1"/>
    <col min="12547" max="12547" width="10.1640625" style="66" customWidth="1"/>
    <col min="12548" max="12548" width="51.1640625" style="66" customWidth="1"/>
    <col min="12549" max="12552" width="17.6640625" style="66" customWidth="1"/>
    <col min="12553" max="12555" width="17.83203125" style="66" customWidth="1"/>
    <col min="12556" max="12556" width="0" style="66" hidden="1" customWidth="1"/>
    <col min="12557" max="12557" width="17.83203125" style="66" customWidth="1"/>
    <col min="12558" max="12558" width="22.83203125" style="66" customWidth="1"/>
    <col min="12559" max="12561" width="17.83203125" style="66" customWidth="1"/>
    <col min="12562" max="12562" width="15.6640625" style="66" customWidth="1"/>
    <col min="12563" max="12563" width="22.33203125" style="66" customWidth="1"/>
    <col min="12564" max="12566" width="17.83203125" style="66" customWidth="1"/>
    <col min="12567" max="12567" width="22.6640625" style="66" customWidth="1"/>
    <col min="12568" max="12568" width="20.33203125" style="66" customWidth="1"/>
    <col min="12569" max="12569" width="8.33203125" style="66" customWidth="1"/>
    <col min="12570" max="12570" width="28.5" style="66" bestFit="1" customWidth="1"/>
    <col min="12571" max="12801" width="11.5" style="66"/>
    <col min="12802" max="12802" width="4.6640625" style="66" customWidth="1"/>
    <col min="12803" max="12803" width="10.1640625" style="66" customWidth="1"/>
    <col min="12804" max="12804" width="51.1640625" style="66" customWidth="1"/>
    <col min="12805" max="12808" width="17.6640625" style="66" customWidth="1"/>
    <col min="12809" max="12811" width="17.83203125" style="66" customWidth="1"/>
    <col min="12812" max="12812" width="0" style="66" hidden="1" customWidth="1"/>
    <col min="12813" max="12813" width="17.83203125" style="66" customWidth="1"/>
    <col min="12814" max="12814" width="22.83203125" style="66" customWidth="1"/>
    <col min="12815" max="12817" width="17.83203125" style="66" customWidth="1"/>
    <col min="12818" max="12818" width="15.6640625" style="66" customWidth="1"/>
    <col min="12819" max="12819" width="22.33203125" style="66" customWidth="1"/>
    <col min="12820" max="12822" width="17.83203125" style="66" customWidth="1"/>
    <col min="12823" max="12823" width="22.6640625" style="66" customWidth="1"/>
    <col min="12824" max="12824" width="20.33203125" style="66" customWidth="1"/>
    <col min="12825" max="12825" width="8.33203125" style="66" customWidth="1"/>
    <col min="12826" max="12826" width="28.5" style="66" bestFit="1" customWidth="1"/>
    <col min="12827" max="13057" width="11.5" style="66"/>
    <col min="13058" max="13058" width="4.6640625" style="66" customWidth="1"/>
    <col min="13059" max="13059" width="10.1640625" style="66" customWidth="1"/>
    <col min="13060" max="13060" width="51.1640625" style="66" customWidth="1"/>
    <col min="13061" max="13064" width="17.6640625" style="66" customWidth="1"/>
    <col min="13065" max="13067" width="17.83203125" style="66" customWidth="1"/>
    <col min="13068" max="13068" width="0" style="66" hidden="1" customWidth="1"/>
    <col min="13069" max="13069" width="17.83203125" style="66" customWidth="1"/>
    <col min="13070" max="13070" width="22.83203125" style="66" customWidth="1"/>
    <col min="13071" max="13073" width="17.83203125" style="66" customWidth="1"/>
    <col min="13074" max="13074" width="15.6640625" style="66" customWidth="1"/>
    <col min="13075" max="13075" width="22.33203125" style="66" customWidth="1"/>
    <col min="13076" max="13078" width="17.83203125" style="66" customWidth="1"/>
    <col min="13079" max="13079" width="22.6640625" style="66" customWidth="1"/>
    <col min="13080" max="13080" width="20.33203125" style="66" customWidth="1"/>
    <col min="13081" max="13081" width="8.33203125" style="66" customWidth="1"/>
    <col min="13082" max="13082" width="28.5" style="66" bestFit="1" customWidth="1"/>
    <col min="13083" max="13313" width="11.5" style="66"/>
    <col min="13314" max="13314" width="4.6640625" style="66" customWidth="1"/>
    <col min="13315" max="13315" width="10.1640625" style="66" customWidth="1"/>
    <col min="13316" max="13316" width="51.1640625" style="66" customWidth="1"/>
    <col min="13317" max="13320" width="17.6640625" style="66" customWidth="1"/>
    <col min="13321" max="13323" width="17.83203125" style="66" customWidth="1"/>
    <col min="13324" max="13324" width="0" style="66" hidden="1" customWidth="1"/>
    <col min="13325" max="13325" width="17.83203125" style="66" customWidth="1"/>
    <col min="13326" max="13326" width="22.83203125" style="66" customWidth="1"/>
    <col min="13327" max="13329" width="17.83203125" style="66" customWidth="1"/>
    <col min="13330" max="13330" width="15.6640625" style="66" customWidth="1"/>
    <col min="13331" max="13331" width="22.33203125" style="66" customWidth="1"/>
    <col min="13332" max="13334" width="17.83203125" style="66" customWidth="1"/>
    <col min="13335" max="13335" width="22.6640625" style="66" customWidth="1"/>
    <col min="13336" max="13336" width="20.33203125" style="66" customWidth="1"/>
    <col min="13337" max="13337" width="8.33203125" style="66" customWidth="1"/>
    <col min="13338" max="13338" width="28.5" style="66" bestFit="1" customWidth="1"/>
    <col min="13339" max="13569" width="11.5" style="66"/>
    <col min="13570" max="13570" width="4.6640625" style="66" customWidth="1"/>
    <col min="13571" max="13571" width="10.1640625" style="66" customWidth="1"/>
    <col min="13572" max="13572" width="51.1640625" style="66" customWidth="1"/>
    <col min="13573" max="13576" width="17.6640625" style="66" customWidth="1"/>
    <col min="13577" max="13579" width="17.83203125" style="66" customWidth="1"/>
    <col min="13580" max="13580" width="0" style="66" hidden="1" customWidth="1"/>
    <col min="13581" max="13581" width="17.83203125" style="66" customWidth="1"/>
    <col min="13582" max="13582" width="22.83203125" style="66" customWidth="1"/>
    <col min="13583" max="13585" width="17.83203125" style="66" customWidth="1"/>
    <col min="13586" max="13586" width="15.6640625" style="66" customWidth="1"/>
    <col min="13587" max="13587" width="22.33203125" style="66" customWidth="1"/>
    <col min="13588" max="13590" width="17.83203125" style="66" customWidth="1"/>
    <col min="13591" max="13591" width="22.6640625" style="66" customWidth="1"/>
    <col min="13592" max="13592" width="20.33203125" style="66" customWidth="1"/>
    <col min="13593" max="13593" width="8.33203125" style="66" customWidth="1"/>
    <col min="13594" max="13594" width="28.5" style="66" bestFit="1" customWidth="1"/>
    <col min="13595" max="13825" width="11.5" style="66"/>
    <col min="13826" max="13826" width="4.6640625" style="66" customWidth="1"/>
    <col min="13827" max="13827" width="10.1640625" style="66" customWidth="1"/>
    <col min="13828" max="13828" width="51.1640625" style="66" customWidth="1"/>
    <col min="13829" max="13832" width="17.6640625" style="66" customWidth="1"/>
    <col min="13833" max="13835" width="17.83203125" style="66" customWidth="1"/>
    <col min="13836" max="13836" width="0" style="66" hidden="1" customWidth="1"/>
    <col min="13837" max="13837" width="17.83203125" style="66" customWidth="1"/>
    <col min="13838" max="13838" width="22.83203125" style="66" customWidth="1"/>
    <col min="13839" max="13841" width="17.83203125" style="66" customWidth="1"/>
    <col min="13842" max="13842" width="15.6640625" style="66" customWidth="1"/>
    <col min="13843" max="13843" width="22.33203125" style="66" customWidth="1"/>
    <col min="13844" max="13846" width="17.83203125" style="66" customWidth="1"/>
    <col min="13847" max="13847" width="22.6640625" style="66" customWidth="1"/>
    <col min="13848" max="13848" width="20.33203125" style="66" customWidth="1"/>
    <col min="13849" max="13849" width="8.33203125" style="66" customWidth="1"/>
    <col min="13850" max="13850" width="28.5" style="66" bestFit="1" customWidth="1"/>
    <col min="13851" max="14081" width="11.5" style="66"/>
    <col min="14082" max="14082" width="4.6640625" style="66" customWidth="1"/>
    <col min="14083" max="14083" width="10.1640625" style="66" customWidth="1"/>
    <col min="14084" max="14084" width="51.1640625" style="66" customWidth="1"/>
    <col min="14085" max="14088" width="17.6640625" style="66" customWidth="1"/>
    <col min="14089" max="14091" width="17.83203125" style="66" customWidth="1"/>
    <col min="14092" max="14092" width="0" style="66" hidden="1" customWidth="1"/>
    <col min="14093" max="14093" width="17.83203125" style="66" customWidth="1"/>
    <col min="14094" max="14094" width="22.83203125" style="66" customWidth="1"/>
    <col min="14095" max="14097" width="17.83203125" style="66" customWidth="1"/>
    <col min="14098" max="14098" width="15.6640625" style="66" customWidth="1"/>
    <col min="14099" max="14099" width="22.33203125" style="66" customWidth="1"/>
    <col min="14100" max="14102" width="17.83203125" style="66" customWidth="1"/>
    <col min="14103" max="14103" width="22.6640625" style="66" customWidth="1"/>
    <col min="14104" max="14104" width="20.33203125" style="66" customWidth="1"/>
    <col min="14105" max="14105" width="8.33203125" style="66" customWidth="1"/>
    <col min="14106" max="14106" width="28.5" style="66" bestFit="1" customWidth="1"/>
    <col min="14107" max="14337" width="11.5" style="66"/>
    <col min="14338" max="14338" width="4.6640625" style="66" customWidth="1"/>
    <col min="14339" max="14339" width="10.1640625" style="66" customWidth="1"/>
    <col min="14340" max="14340" width="51.1640625" style="66" customWidth="1"/>
    <col min="14341" max="14344" width="17.6640625" style="66" customWidth="1"/>
    <col min="14345" max="14347" width="17.83203125" style="66" customWidth="1"/>
    <col min="14348" max="14348" width="0" style="66" hidden="1" customWidth="1"/>
    <col min="14349" max="14349" width="17.83203125" style="66" customWidth="1"/>
    <col min="14350" max="14350" width="22.83203125" style="66" customWidth="1"/>
    <col min="14351" max="14353" width="17.83203125" style="66" customWidth="1"/>
    <col min="14354" max="14354" width="15.6640625" style="66" customWidth="1"/>
    <col min="14355" max="14355" width="22.33203125" style="66" customWidth="1"/>
    <col min="14356" max="14358" width="17.83203125" style="66" customWidth="1"/>
    <col min="14359" max="14359" width="22.6640625" style="66" customWidth="1"/>
    <col min="14360" max="14360" width="20.33203125" style="66" customWidth="1"/>
    <col min="14361" max="14361" width="8.33203125" style="66" customWidth="1"/>
    <col min="14362" max="14362" width="28.5" style="66" bestFit="1" customWidth="1"/>
    <col min="14363" max="14593" width="11.5" style="66"/>
    <col min="14594" max="14594" width="4.6640625" style="66" customWidth="1"/>
    <col min="14595" max="14595" width="10.1640625" style="66" customWidth="1"/>
    <col min="14596" max="14596" width="51.1640625" style="66" customWidth="1"/>
    <col min="14597" max="14600" width="17.6640625" style="66" customWidth="1"/>
    <col min="14601" max="14603" width="17.83203125" style="66" customWidth="1"/>
    <col min="14604" max="14604" width="0" style="66" hidden="1" customWidth="1"/>
    <col min="14605" max="14605" width="17.83203125" style="66" customWidth="1"/>
    <col min="14606" max="14606" width="22.83203125" style="66" customWidth="1"/>
    <col min="14607" max="14609" width="17.83203125" style="66" customWidth="1"/>
    <col min="14610" max="14610" width="15.6640625" style="66" customWidth="1"/>
    <col min="14611" max="14611" width="22.33203125" style="66" customWidth="1"/>
    <col min="14612" max="14614" width="17.83203125" style="66" customWidth="1"/>
    <col min="14615" max="14615" width="22.6640625" style="66" customWidth="1"/>
    <col min="14616" max="14616" width="20.33203125" style="66" customWidth="1"/>
    <col min="14617" max="14617" width="8.33203125" style="66" customWidth="1"/>
    <col min="14618" max="14618" width="28.5" style="66" bestFit="1" customWidth="1"/>
    <col min="14619" max="14849" width="11.5" style="66"/>
    <col min="14850" max="14850" width="4.6640625" style="66" customWidth="1"/>
    <col min="14851" max="14851" width="10.1640625" style="66" customWidth="1"/>
    <col min="14852" max="14852" width="51.1640625" style="66" customWidth="1"/>
    <col min="14853" max="14856" width="17.6640625" style="66" customWidth="1"/>
    <col min="14857" max="14859" width="17.83203125" style="66" customWidth="1"/>
    <col min="14860" max="14860" width="0" style="66" hidden="1" customWidth="1"/>
    <col min="14861" max="14861" width="17.83203125" style="66" customWidth="1"/>
    <col min="14862" max="14862" width="22.83203125" style="66" customWidth="1"/>
    <col min="14863" max="14865" width="17.83203125" style="66" customWidth="1"/>
    <col min="14866" max="14866" width="15.6640625" style="66" customWidth="1"/>
    <col min="14867" max="14867" width="22.33203125" style="66" customWidth="1"/>
    <col min="14868" max="14870" width="17.83203125" style="66" customWidth="1"/>
    <col min="14871" max="14871" width="22.6640625" style="66" customWidth="1"/>
    <col min="14872" max="14872" width="20.33203125" style="66" customWidth="1"/>
    <col min="14873" max="14873" width="8.33203125" style="66" customWidth="1"/>
    <col min="14874" max="14874" width="28.5" style="66" bestFit="1" customWidth="1"/>
    <col min="14875" max="15105" width="11.5" style="66"/>
    <col min="15106" max="15106" width="4.6640625" style="66" customWidth="1"/>
    <col min="15107" max="15107" width="10.1640625" style="66" customWidth="1"/>
    <col min="15108" max="15108" width="51.1640625" style="66" customWidth="1"/>
    <col min="15109" max="15112" width="17.6640625" style="66" customWidth="1"/>
    <col min="15113" max="15115" width="17.83203125" style="66" customWidth="1"/>
    <col min="15116" max="15116" width="0" style="66" hidden="1" customWidth="1"/>
    <col min="15117" max="15117" width="17.83203125" style="66" customWidth="1"/>
    <col min="15118" max="15118" width="22.83203125" style="66" customWidth="1"/>
    <col min="15119" max="15121" width="17.83203125" style="66" customWidth="1"/>
    <col min="15122" max="15122" width="15.6640625" style="66" customWidth="1"/>
    <col min="15123" max="15123" width="22.33203125" style="66" customWidth="1"/>
    <col min="15124" max="15126" width="17.83203125" style="66" customWidth="1"/>
    <col min="15127" max="15127" width="22.6640625" style="66" customWidth="1"/>
    <col min="15128" max="15128" width="20.33203125" style="66" customWidth="1"/>
    <col min="15129" max="15129" width="8.33203125" style="66" customWidth="1"/>
    <col min="15130" max="15130" width="28.5" style="66" bestFit="1" customWidth="1"/>
    <col min="15131" max="15361" width="11.5" style="66"/>
    <col min="15362" max="15362" width="4.6640625" style="66" customWidth="1"/>
    <col min="15363" max="15363" width="10.1640625" style="66" customWidth="1"/>
    <col min="15364" max="15364" width="51.1640625" style="66" customWidth="1"/>
    <col min="15365" max="15368" width="17.6640625" style="66" customWidth="1"/>
    <col min="15369" max="15371" width="17.83203125" style="66" customWidth="1"/>
    <col min="15372" max="15372" width="0" style="66" hidden="1" customWidth="1"/>
    <col min="15373" max="15373" width="17.83203125" style="66" customWidth="1"/>
    <col min="15374" max="15374" width="22.83203125" style="66" customWidth="1"/>
    <col min="15375" max="15377" width="17.83203125" style="66" customWidth="1"/>
    <col min="15378" max="15378" width="15.6640625" style="66" customWidth="1"/>
    <col min="15379" max="15379" width="22.33203125" style="66" customWidth="1"/>
    <col min="15380" max="15382" width="17.83203125" style="66" customWidth="1"/>
    <col min="15383" max="15383" width="22.6640625" style="66" customWidth="1"/>
    <col min="15384" max="15384" width="20.33203125" style="66" customWidth="1"/>
    <col min="15385" max="15385" width="8.33203125" style="66" customWidth="1"/>
    <col min="15386" max="15386" width="28.5" style="66" bestFit="1" customWidth="1"/>
    <col min="15387" max="15617" width="11.5" style="66"/>
    <col min="15618" max="15618" width="4.6640625" style="66" customWidth="1"/>
    <col min="15619" max="15619" width="10.1640625" style="66" customWidth="1"/>
    <col min="15620" max="15620" width="51.1640625" style="66" customWidth="1"/>
    <col min="15621" max="15624" width="17.6640625" style="66" customWidth="1"/>
    <col min="15625" max="15627" width="17.83203125" style="66" customWidth="1"/>
    <col min="15628" max="15628" width="0" style="66" hidden="1" customWidth="1"/>
    <col min="15629" max="15629" width="17.83203125" style="66" customWidth="1"/>
    <col min="15630" max="15630" width="22.83203125" style="66" customWidth="1"/>
    <col min="15631" max="15633" width="17.83203125" style="66" customWidth="1"/>
    <col min="15634" max="15634" width="15.6640625" style="66" customWidth="1"/>
    <col min="15635" max="15635" width="22.33203125" style="66" customWidth="1"/>
    <col min="15636" max="15638" width="17.83203125" style="66" customWidth="1"/>
    <col min="15639" max="15639" width="22.6640625" style="66" customWidth="1"/>
    <col min="15640" max="15640" width="20.33203125" style="66" customWidth="1"/>
    <col min="15641" max="15641" width="8.33203125" style="66" customWidth="1"/>
    <col min="15642" max="15642" width="28.5" style="66" bestFit="1" customWidth="1"/>
    <col min="15643" max="15873" width="11.5" style="66"/>
    <col min="15874" max="15874" width="4.6640625" style="66" customWidth="1"/>
    <col min="15875" max="15875" width="10.1640625" style="66" customWidth="1"/>
    <col min="15876" max="15876" width="51.1640625" style="66" customWidth="1"/>
    <col min="15877" max="15880" width="17.6640625" style="66" customWidth="1"/>
    <col min="15881" max="15883" width="17.83203125" style="66" customWidth="1"/>
    <col min="15884" max="15884" width="0" style="66" hidden="1" customWidth="1"/>
    <col min="15885" max="15885" width="17.83203125" style="66" customWidth="1"/>
    <col min="15886" max="15886" width="22.83203125" style="66" customWidth="1"/>
    <col min="15887" max="15889" width="17.83203125" style="66" customWidth="1"/>
    <col min="15890" max="15890" width="15.6640625" style="66" customWidth="1"/>
    <col min="15891" max="15891" width="22.33203125" style="66" customWidth="1"/>
    <col min="15892" max="15894" width="17.83203125" style="66" customWidth="1"/>
    <col min="15895" max="15895" width="22.6640625" style="66" customWidth="1"/>
    <col min="15896" max="15896" width="20.33203125" style="66" customWidth="1"/>
    <col min="15897" max="15897" width="8.33203125" style="66" customWidth="1"/>
    <col min="15898" max="15898" width="28.5" style="66" bestFit="1" customWidth="1"/>
    <col min="15899" max="16129" width="11.5" style="66"/>
    <col min="16130" max="16130" width="4.6640625" style="66" customWidth="1"/>
    <col min="16131" max="16131" width="10.1640625" style="66" customWidth="1"/>
    <col min="16132" max="16132" width="51.1640625" style="66" customWidth="1"/>
    <col min="16133" max="16136" width="17.6640625" style="66" customWidth="1"/>
    <col min="16137" max="16139" width="17.83203125" style="66" customWidth="1"/>
    <col min="16140" max="16140" width="0" style="66" hidden="1" customWidth="1"/>
    <col min="16141" max="16141" width="17.83203125" style="66" customWidth="1"/>
    <col min="16142" max="16142" width="22.83203125" style="66" customWidth="1"/>
    <col min="16143" max="16145" width="17.83203125" style="66" customWidth="1"/>
    <col min="16146" max="16146" width="15.6640625" style="66" customWidth="1"/>
    <col min="16147" max="16147" width="22.33203125" style="66" customWidth="1"/>
    <col min="16148" max="16150" width="17.83203125" style="66" customWidth="1"/>
    <col min="16151" max="16151" width="22.6640625" style="66" customWidth="1"/>
    <col min="16152" max="16152" width="20.33203125" style="66" customWidth="1"/>
    <col min="16153" max="16153" width="8.33203125" style="66" customWidth="1"/>
    <col min="16154" max="16154" width="28.5" style="66" bestFit="1" customWidth="1"/>
    <col min="16155" max="16384" width="11.5" style="66"/>
  </cols>
  <sheetData>
    <row r="5" spans="1:27" ht="30" customHeight="1">
      <c r="A5" s="73" t="s">
        <v>0</v>
      </c>
      <c r="B5" s="73"/>
      <c r="C5" s="73"/>
      <c r="D5" s="73"/>
      <c r="E5" s="73"/>
      <c r="F5" s="74"/>
      <c r="G5" s="76"/>
      <c r="H5" s="74"/>
      <c r="I5" s="75"/>
      <c r="J5" s="77"/>
      <c r="K5" s="77"/>
      <c r="L5" s="73"/>
      <c r="M5" s="73"/>
      <c r="N5" s="78"/>
      <c r="O5" s="79"/>
      <c r="P5" s="78"/>
      <c r="Q5" s="78"/>
      <c r="R5" s="78"/>
      <c r="S5" s="78"/>
      <c r="T5" s="78"/>
      <c r="U5" s="112"/>
      <c r="V5" s="112"/>
      <c r="W5" s="112"/>
      <c r="X5" s="66"/>
    </row>
    <row r="6" spans="1:27" ht="30" customHeight="1">
      <c r="A6" s="73" t="s">
        <v>1</v>
      </c>
      <c r="B6" s="73"/>
      <c r="C6" s="73"/>
      <c r="D6" s="73"/>
      <c r="E6" s="73"/>
      <c r="F6" s="77"/>
      <c r="G6" s="119" t="s">
        <v>2965</v>
      </c>
      <c r="H6" s="77"/>
      <c r="J6" s="77"/>
      <c r="K6" s="77"/>
      <c r="L6" s="73"/>
      <c r="M6" s="73"/>
      <c r="X6" s="66"/>
    </row>
    <row r="7" spans="1:27" s="80" customFormat="1" ht="30" customHeight="1">
      <c r="A7" s="73" t="s">
        <v>2</v>
      </c>
      <c r="B7" s="73"/>
      <c r="C7" s="73"/>
      <c r="D7" s="73"/>
      <c r="E7" s="73"/>
      <c r="F7" s="74"/>
      <c r="G7" s="76"/>
      <c r="H7" s="74"/>
      <c r="I7" s="75"/>
      <c r="J7" s="77"/>
      <c r="K7" s="77"/>
      <c r="L7" s="73"/>
      <c r="M7" s="73"/>
      <c r="N7" s="78"/>
      <c r="O7" s="79"/>
      <c r="P7" s="78"/>
      <c r="Q7" s="78"/>
      <c r="R7" s="78"/>
      <c r="S7" s="78"/>
      <c r="T7" s="78"/>
      <c r="U7" s="112"/>
      <c r="V7" s="112"/>
      <c r="W7" s="112"/>
      <c r="X7" s="66"/>
    </row>
    <row r="8" spans="1:27" ht="21" customHeight="1">
      <c r="R8" s="70" t="s">
        <v>2967</v>
      </c>
      <c r="S8" s="70" t="s">
        <v>2966</v>
      </c>
      <c r="T8" s="70" t="s">
        <v>2967</v>
      </c>
      <c r="X8" s="81"/>
    </row>
    <row r="9" spans="1:27" s="82" customFormat="1" ht="62" customHeight="1">
      <c r="A9" s="300" t="s">
        <v>3</v>
      </c>
      <c r="B9" s="300" t="s">
        <v>4</v>
      </c>
      <c r="C9" s="300" t="s">
        <v>5</v>
      </c>
      <c r="D9" s="300" t="s">
        <v>6</v>
      </c>
      <c r="E9" s="300" t="s">
        <v>35</v>
      </c>
      <c r="F9" s="298" t="s">
        <v>7</v>
      </c>
      <c r="G9" s="302" t="s">
        <v>38</v>
      </c>
      <c r="H9" s="298" t="s">
        <v>8</v>
      </c>
      <c r="I9" s="298" t="s">
        <v>9</v>
      </c>
      <c r="J9" s="298" t="s">
        <v>11</v>
      </c>
      <c r="K9" s="298" t="s">
        <v>39</v>
      </c>
      <c r="L9" s="298" t="s">
        <v>45</v>
      </c>
      <c r="M9" s="298" t="s">
        <v>37</v>
      </c>
      <c r="N9" s="308" t="s">
        <v>47</v>
      </c>
      <c r="O9" s="310" t="s">
        <v>29</v>
      </c>
      <c r="P9" s="311"/>
      <c r="Q9" s="311"/>
      <c r="R9" s="312"/>
      <c r="S9" s="308" t="s">
        <v>33</v>
      </c>
      <c r="T9" s="308" t="s">
        <v>34</v>
      </c>
      <c r="U9" s="304" t="s">
        <v>41</v>
      </c>
      <c r="V9" s="304" t="s">
        <v>40</v>
      </c>
      <c r="W9" s="304" t="s">
        <v>12</v>
      </c>
      <c r="X9" s="306" t="s">
        <v>42</v>
      </c>
    </row>
    <row r="10" spans="1:27" s="82" customFormat="1" ht="37" customHeight="1">
      <c r="A10" s="301"/>
      <c r="B10" s="301"/>
      <c r="C10" s="301"/>
      <c r="D10" s="301"/>
      <c r="E10" s="301"/>
      <c r="F10" s="299"/>
      <c r="G10" s="303"/>
      <c r="H10" s="299"/>
      <c r="I10" s="299"/>
      <c r="J10" s="299"/>
      <c r="K10" s="299"/>
      <c r="L10" s="299"/>
      <c r="M10" s="299"/>
      <c r="N10" s="309"/>
      <c r="O10" s="83" t="s">
        <v>30</v>
      </c>
      <c r="P10" s="84" t="s">
        <v>31</v>
      </c>
      <c r="Q10" s="84" t="s">
        <v>32</v>
      </c>
      <c r="R10" s="84" t="s">
        <v>36</v>
      </c>
      <c r="S10" s="309"/>
      <c r="T10" s="309"/>
      <c r="U10" s="305"/>
      <c r="V10" s="305"/>
      <c r="W10" s="305"/>
      <c r="X10" s="307"/>
    </row>
    <row r="11" spans="1:27" s="94" customFormat="1" ht="30" customHeight="1">
      <c r="A11" s="283">
        <v>1</v>
      </c>
      <c r="B11" s="281" t="s">
        <v>2964</v>
      </c>
      <c r="C11" s="278" t="s">
        <v>2744</v>
      </c>
      <c r="D11" s="278" t="s">
        <v>2743</v>
      </c>
      <c r="E11" s="278" t="s">
        <v>2750</v>
      </c>
      <c r="F11" s="278" t="s">
        <v>2963</v>
      </c>
      <c r="G11" s="278" t="s">
        <v>2943</v>
      </c>
      <c r="H11" s="278">
        <v>126080010</v>
      </c>
      <c r="I11" s="279" t="s">
        <v>2962</v>
      </c>
      <c r="J11" s="280" t="s">
        <v>2961</v>
      </c>
      <c r="K11" s="278">
        <v>126080005</v>
      </c>
      <c r="L11" s="278" t="s">
        <v>2943</v>
      </c>
      <c r="M11" s="278"/>
      <c r="N11" s="287">
        <v>20000</v>
      </c>
      <c r="O11" s="91">
        <v>46232</v>
      </c>
      <c r="P11" s="91" t="s">
        <v>2661</v>
      </c>
      <c r="Q11" s="90">
        <v>80</v>
      </c>
      <c r="R11" s="292">
        <f>+T11+S11</f>
        <v>32510</v>
      </c>
      <c r="S11" s="90">
        <v>1500</v>
      </c>
      <c r="T11" s="292">
        <f>+X11/N11</f>
        <v>31010</v>
      </c>
      <c r="U11" s="92">
        <f>+T11*0.909090909090909</f>
        <v>28190.909090909088</v>
      </c>
      <c r="V11" s="282">
        <v>563818181.82000005</v>
      </c>
      <c r="W11" s="282">
        <v>56381818.18</v>
      </c>
      <c r="X11" s="286">
        <v>620200000</v>
      </c>
      <c r="Y11" s="115"/>
      <c r="AA11" s="284">
        <f>+X11/N11</f>
        <v>31010</v>
      </c>
    </row>
    <row r="12" spans="1:27" s="94" customFormat="1" ht="30" customHeight="1">
      <c r="A12" s="283">
        <v>2</v>
      </c>
      <c r="B12" s="281" t="s">
        <v>2960</v>
      </c>
      <c r="C12" s="278" t="s">
        <v>2744</v>
      </c>
      <c r="D12" s="278" t="s">
        <v>2743</v>
      </c>
      <c r="E12" s="278" t="s">
        <v>2750</v>
      </c>
      <c r="F12" s="278" t="s">
        <v>2959</v>
      </c>
      <c r="G12" s="278" t="s">
        <v>2943</v>
      </c>
      <c r="H12" s="278">
        <v>126080008</v>
      </c>
      <c r="I12" s="279" t="s">
        <v>2958</v>
      </c>
      <c r="J12" s="278" t="s">
        <v>2957</v>
      </c>
      <c r="K12" s="278">
        <v>126080006</v>
      </c>
      <c r="L12" s="278" t="s">
        <v>2943</v>
      </c>
      <c r="M12" s="278"/>
      <c r="N12" s="288">
        <v>10000</v>
      </c>
      <c r="O12" s="91">
        <v>46232</v>
      </c>
      <c r="P12" s="91" t="s">
        <v>2661</v>
      </c>
      <c r="Q12" s="90">
        <v>80</v>
      </c>
      <c r="R12" s="292">
        <f t="shared" ref="R12:R79" si="0">+T12+S12</f>
        <v>32420</v>
      </c>
      <c r="S12" s="90">
        <v>4500</v>
      </c>
      <c r="T12" s="90">
        <f>+X12/N12</f>
        <v>27920</v>
      </c>
      <c r="U12" s="92">
        <f t="shared" ref="U12:U78" si="1">+T12*0.909090909090909</f>
        <v>25381.818181818177</v>
      </c>
      <c r="V12" s="282">
        <v>253818181.81999999</v>
      </c>
      <c r="W12" s="282">
        <v>25381818.18</v>
      </c>
      <c r="X12" s="282">
        <v>279200000</v>
      </c>
      <c r="Y12" s="115">
        <v>32510</v>
      </c>
      <c r="Z12" s="94">
        <v>1500</v>
      </c>
      <c r="AA12" s="285">
        <f>+Y12-Z12</f>
        <v>31010</v>
      </c>
    </row>
    <row r="13" spans="1:27" s="94" customFormat="1" ht="30" customHeight="1">
      <c r="A13" s="283">
        <v>3</v>
      </c>
      <c r="B13" s="281" t="s">
        <v>2795</v>
      </c>
      <c r="C13" s="278" t="s">
        <v>2744</v>
      </c>
      <c r="D13" s="278" t="s">
        <v>2743</v>
      </c>
      <c r="E13" s="278" t="s">
        <v>2794</v>
      </c>
      <c r="F13" s="278" t="s">
        <v>2793</v>
      </c>
      <c r="G13" s="278" t="s">
        <v>2948</v>
      </c>
      <c r="H13" s="278">
        <v>126080005</v>
      </c>
      <c r="I13" s="279" t="s">
        <v>2956</v>
      </c>
      <c r="J13" s="278" t="s">
        <v>2955</v>
      </c>
      <c r="K13" s="278">
        <v>126080009</v>
      </c>
      <c r="L13" s="278" t="s">
        <v>2948</v>
      </c>
      <c r="M13" s="278" t="s">
        <v>2887</v>
      </c>
      <c r="N13" s="288">
        <v>40000</v>
      </c>
      <c r="O13" s="91">
        <v>46225</v>
      </c>
      <c r="P13" s="90" t="s">
        <v>2010</v>
      </c>
      <c r="Q13" s="90">
        <v>80</v>
      </c>
      <c r="R13" s="292">
        <f t="shared" si="0"/>
        <v>31090</v>
      </c>
      <c r="S13" s="90">
        <v>2166</v>
      </c>
      <c r="T13" s="292">
        <f t="shared" ref="T13:T80" si="2">+X13/N13</f>
        <v>28924</v>
      </c>
      <c r="U13" s="92">
        <f t="shared" si="1"/>
        <v>26294.545454545452</v>
      </c>
      <c r="V13" s="282">
        <v>1051781818.1799999</v>
      </c>
      <c r="W13" s="282">
        <v>105178181.81999999</v>
      </c>
      <c r="X13" s="282">
        <v>1156960000</v>
      </c>
      <c r="Y13" s="115"/>
    </row>
    <row r="14" spans="1:27" s="94" customFormat="1" ht="30" customHeight="1">
      <c r="A14" s="283">
        <v>4</v>
      </c>
      <c r="B14" s="281" t="s">
        <v>2795</v>
      </c>
      <c r="C14" s="278" t="s">
        <v>2744</v>
      </c>
      <c r="D14" s="278" t="s">
        <v>2743</v>
      </c>
      <c r="E14" s="278" t="s">
        <v>2794</v>
      </c>
      <c r="F14" s="278" t="s">
        <v>2793</v>
      </c>
      <c r="G14" s="278" t="s">
        <v>2948</v>
      </c>
      <c r="H14" s="278">
        <v>126080011</v>
      </c>
      <c r="I14" s="279" t="s">
        <v>2954</v>
      </c>
      <c r="J14" s="278" t="s">
        <v>2953</v>
      </c>
      <c r="K14" s="278">
        <v>126080009</v>
      </c>
      <c r="L14" s="278" t="s">
        <v>2948</v>
      </c>
      <c r="M14" s="278" t="s">
        <v>2887</v>
      </c>
      <c r="N14" s="288">
        <v>40000</v>
      </c>
      <c r="O14" s="91">
        <v>46225</v>
      </c>
      <c r="P14" s="90" t="s">
        <v>2010</v>
      </c>
      <c r="Q14" s="90">
        <v>80</v>
      </c>
      <c r="R14" s="292">
        <f t="shared" si="0"/>
        <v>31090</v>
      </c>
      <c r="S14" s="90">
        <v>2166</v>
      </c>
      <c r="T14" s="90">
        <f t="shared" si="2"/>
        <v>28924</v>
      </c>
      <c r="U14" s="92">
        <f t="shared" si="1"/>
        <v>26294.545454545452</v>
      </c>
      <c r="V14" s="282">
        <v>1051781818.1799999</v>
      </c>
      <c r="W14" s="282">
        <v>105178181.81999999</v>
      </c>
      <c r="X14" s="282">
        <v>1156960000</v>
      </c>
      <c r="Y14" s="115"/>
    </row>
    <row r="15" spans="1:27" s="94" customFormat="1" ht="30" customHeight="1">
      <c r="A15" s="283">
        <v>5</v>
      </c>
      <c r="B15" s="281" t="s">
        <v>2841</v>
      </c>
      <c r="C15" s="278" t="s">
        <v>2744</v>
      </c>
      <c r="D15" s="278" t="s">
        <v>2743</v>
      </c>
      <c r="E15" s="278" t="s">
        <v>2742</v>
      </c>
      <c r="F15" s="278" t="s">
        <v>2840</v>
      </c>
      <c r="G15" s="278" t="s">
        <v>2907</v>
      </c>
      <c r="H15" s="278">
        <v>126080001</v>
      </c>
      <c r="I15" s="279" t="s">
        <v>2952</v>
      </c>
      <c r="J15" s="278" t="s">
        <v>2951</v>
      </c>
      <c r="K15" s="278">
        <v>126080002</v>
      </c>
      <c r="L15" s="278" t="s">
        <v>2907</v>
      </c>
      <c r="M15" s="278"/>
      <c r="N15" s="288">
        <v>1000</v>
      </c>
      <c r="O15" s="91">
        <v>46232</v>
      </c>
      <c r="P15" s="91" t="s">
        <v>2661</v>
      </c>
      <c r="Q15" s="90">
        <v>80</v>
      </c>
      <c r="R15" s="292">
        <f t="shared" si="0"/>
        <v>32390</v>
      </c>
      <c r="S15" s="130">
        <v>5000</v>
      </c>
      <c r="T15" s="292">
        <f>+X15/N15</f>
        <v>27390</v>
      </c>
      <c r="U15" s="92">
        <f t="shared" si="1"/>
        <v>24899.999999999996</v>
      </c>
      <c r="V15" s="282">
        <v>24900000</v>
      </c>
      <c r="W15" s="282">
        <v>2490000</v>
      </c>
      <c r="X15" s="282">
        <v>27390000</v>
      </c>
      <c r="Y15" s="115"/>
    </row>
    <row r="16" spans="1:27" s="94" customFormat="1" ht="30" customHeight="1">
      <c r="A16" s="283">
        <v>6</v>
      </c>
      <c r="B16" s="281" t="s">
        <v>2905</v>
      </c>
      <c r="C16" s="278" t="s">
        <v>2744</v>
      </c>
      <c r="D16" s="278" t="s">
        <v>2743</v>
      </c>
      <c r="E16" s="278" t="s">
        <v>2763</v>
      </c>
      <c r="F16" s="278" t="s">
        <v>2823</v>
      </c>
      <c r="G16" s="278" t="s">
        <v>2907</v>
      </c>
      <c r="H16" s="278">
        <v>126080002</v>
      </c>
      <c r="I16" s="279" t="s">
        <v>2950</v>
      </c>
      <c r="J16" s="278" t="s">
        <v>2949</v>
      </c>
      <c r="K16" s="278">
        <v>126080003</v>
      </c>
      <c r="L16" s="278" t="s">
        <v>2948</v>
      </c>
      <c r="M16" s="278"/>
      <c r="N16" s="288">
        <v>20000</v>
      </c>
      <c r="O16" s="91">
        <v>46232</v>
      </c>
      <c r="P16" s="91" t="s">
        <v>2661</v>
      </c>
      <c r="Q16" s="90">
        <v>80</v>
      </c>
      <c r="R16" s="292">
        <f t="shared" si="0"/>
        <v>32940</v>
      </c>
      <c r="S16" s="90">
        <v>4500</v>
      </c>
      <c r="T16" s="90">
        <f t="shared" si="2"/>
        <v>28440</v>
      </c>
      <c r="U16" s="92">
        <f t="shared" si="1"/>
        <v>25854.545454545452</v>
      </c>
      <c r="V16" s="282">
        <v>517090909.08999997</v>
      </c>
      <c r="W16" s="282">
        <v>51709090.909999996</v>
      </c>
      <c r="X16" s="282">
        <v>568800000</v>
      </c>
      <c r="Y16" s="115"/>
    </row>
    <row r="17" spans="1:25" s="94" customFormat="1" ht="30" customHeight="1">
      <c r="A17" s="283">
        <v>7</v>
      </c>
      <c r="B17" s="281" t="s">
        <v>2769</v>
      </c>
      <c r="C17" s="278" t="s">
        <v>2744</v>
      </c>
      <c r="D17" s="278" t="s">
        <v>2743</v>
      </c>
      <c r="E17" s="278" t="s">
        <v>2768</v>
      </c>
      <c r="F17" s="278" t="s">
        <v>2767</v>
      </c>
      <c r="G17" s="278" t="s">
        <v>2907</v>
      </c>
      <c r="H17" s="278">
        <v>126080004</v>
      </c>
      <c r="I17" s="279" t="s">
        <v>2947</v>
      </c>
      <c r="J17" s="278" t="s">
        <v>2946</v>
      </c>
      <c r="K17" s="278">
        <v>126080004</v>
      </c>
      <c r="L17" s="278" t="s">
        <v>2907</v>
      </c>
      <c r="M17" s="278"/>
      <c r="N17" s="288">
        <v>20000</v>
      </c>
      <c r="O17" s="91">
        <v>46232</v>
      </c>
      <c r="P17" s="91" t="s">
        <v>2968</v>
      </c>
      <c r="Q17" s="90">
        <v>80</v>
      </c>
      <c r="R17" s="292">
        <f t="shared" si="0"/>
        <v>32940</v>
      </c>
      <c r="S17" s="130">
        <v>5000</v>
      </c>
      <c r="T17" s="292">
        <f t="shared" si="2"/>
        <v>27940</v>
      </c>
      <c r="U17" s="92">
        <f t="shared" si="1"/>
        <v>25399.999999999996</v>
      </c>
      <c r="V17" s="282">
        <v>508000000</v>
      </c>
      <c r="W17" s="282">
        <v>50800000</v>
      </c>
      <c r="X17" s="282">
        <v>558800000</v>
      </c>
      <c r="Y17" s="115"/>
    </row>
    <row r="18" spans="1:25" s="94" customFormat="1" ht="30" customHeight="1">
      <c r="A18" s="283">
        <v>8</v>
      </c>
      <c r="B18" s="281" t="s">
        <v>2745</v>
      </c>
      <c r="C18" s="278" t="s">
        <v>2744</v>
      </c>
      <c r="D18" s="278" t="s">
        <v>2743</v>
      </c>
      <c r="E18" s="278" t="s">
        <v>2742</v>
      </c>
      <c r="F18" s="278" t="s">
        <v>2741</v>
      </c>
      <c r="G18" s="278" t="s">
        <v>2907</v>
      </c>
      <c r="H18" s="278">
        <v>126080003</v>
      </c>
      <c r="I18" s="279" t="s">
        <v>2945</v>
      </c>
      <c r="J18" s="278" t="s">
        <v>2944</v>
      </c>
      <c r="K18" s="278">
        <v>126080001</v>
      </c>
      <c r="L18" s="278" t="s">
        <v>2943</v>
      </c>
      <c r="M18" s="278"/>
      <c r="N18" s="288">
        <v>20000</v>
      </c>
      <c r="O18" s="91">
        <v>46232</v>
      </c>
      <c r="P18" s="91" t="s">
        <v>2968</v>
      </c>
      <c r="Q18" s="90">
        <v>80</v>
      </c>
      <c r="R18" s="292">
        <f t="shared" si="0"/>
        <v>32390</v>
      </c>
      <c r="S18" s="130">
        <v>500</v>
      </c>
      <c r="T18" s="90">
        <f t="shared" si="2"/>
        <v>31890</v>
      </c>
      <c r="U18" s="92">
        <f t="shared" si="1"/>
        <v>28990.909090909085</v>
      </c>
      <c r="V18" s="282">
        <v>579818181.82000005</v>
      </c>
      <c r="W18" s="282">
        <v>57981818.18</v>
      </c>
      <c r="X18" s="282">
        <v>637800000</v>
      </c>
      <c r="Y18" s="115"/>
    </row>
    <row r="19" spans="1:25" s="94" customFormat="1" ht="30" customHeight="1">
      <c r="A19" s="283">
        <v>10</v>
      </c>
      <c r="B19" s="281" t="s">
        <v>2751</v>
      </c>
      <c r="C19" s="278" t="s">
        <v>2744</v>
      </c>
      <c r="D19" s="278" t="s">
        <v>2743</v>
      </c>
      <c r="E19" s="278" t="s">
        <v>2750</v>
      </c>
      <c r="F19" s="278" t="s">
        <v>2749</v>
      </c>
      <c r="G19" s="278" t="s">
        <v>2907</v>
      </c>
      <c r="H19" s="278">
        <v>126080018</v>
      </c>
      <c r="I19" s="279" t="s">
        <v>2942</v>
      </c>
      <c r="J19" s="278" t="s">
        <v>2941</v>
      </c>
      <c r="K19" s="278">
        <v>126080010</v>
      </c>
      <c r="L19" s="278" t="s">
        <v>2907</v>
      </c>
      <c r="M19" s="278"/>
      <c r="N19" s="288">
        <v>20000</v>
      </c>
      <c r="O19" s="91">
        <v>46232</v>
      </c>
      <c r="P19" s="91" t="s">
        <v>2968</v>
      </c>
      <c r="Q19" s="90">
        <v>80</v>
      </c>
      <c r="R19" s="292">
        <f t="shared" si="0"/>
        <v>32420</v>
      </c>
      <c r="S19" s="130">
        <v>5000</v>
      </c>
      <c r="T19" s="292">
        <f t="shared" si="2"/>
        <v>27420</v>
      </c>
      <c r="U19" s="92">
        <f t="shared" si="1"/>
        <v>24927.272727272724</v>
      </c>
      <c r="V19" s="282">
        <v>498545454.55000001</v>
      </c>
      <c r="W19" s="282">
        <v>49854545.450000003</v>
      </c>
      <c r="X19" s="282">
        <v>548400000</v>
      </c>
      <c r="Y19" s="115"/>
    </row>
    <row r="20" spans="1:25" s="94" customFormat="1" ht="30" customHeight="1">
      <c r="A20" s="283">
        <v>11</v>
      </c>
      <c r="B20" s="281" t="s">
        <v>2751</v>
      </c>
      <c r="C20" s="278" t="s">
        <v>2744</v>
      </c>
      <c r="D20" s="278" t="s">
        <v>2743</v>
      </c>
      <c r="E20" s="278" t="s">
        <v>2750</v>
      </c>
      <c r="F20" s="278" t="s">
        <v>2749</v>
      </c>
      <c r="G20" s="278" t="s">
        <v>2907</v>
      </c>
      <c r="H20" s="278">
        <v>126080019</v>
      </c>
      <c r="I20" s="279" t="s">
        <v>2940</v>
      </c>
      <c r="J20" s="278" t="s">
        <v>2939</v>
      </c>
      <c r="K20" s="278">
        <v>126080013</v>
      </c>
      <c r="L20" s="278" t="s">
        <v>2907</v>
      </c>
      <c r="M20" s="278"/>
      <c r="N20" s="288">
        <v>20000</v>
      </c>
      <c r="O20" s="91">
        <v>46232</v>
      </c>
      <c r="P20" s="91" t="s">
        <v>2968</v>
      </c>
      <c r="Q20" s="90">
        <v>80</v>
      </c>
      <c r="R20" s="292">
        <f t="shared" si="0"/>
        <v>32420</v>
      </c>
      <c r="S20" s="90">
        <v>5000</v>
      </c>
      <c r="T20" s="90">
        <f t="shared" si="2"/>
        <v>27420</v>
      </c>
      <c r="U20" s="92">
        <f t="shared" si="1"/>
        <v>24927.272727272724</v>
      </c>
      <c r="V20" s="282">
        <v>498545454.55000001</v>
      </c>
      <c r="W20" s="282">
        <v>49854545.450000003</v>
      </c>
      <c r="X20" s="282">
        <v>548400000</v>
      </c>
      <c r="Y20" s="115"/>
    </row>
    <row r="21" spans="1:25" s="94" customFormat="1" ht="30" customHeight="1">
      <c r="A21" s="283">
        <v>12</v>
      </c>
      <c r="B21" s="281" t="s">
        <v>2769</v>
      </c>
      <c r="C21" s="278" t="s">
        <v>2744</v>
      </c>
      <c r="D21" s="278" t="s">
        <v>2743</v>
      </c>
      <c r="E21" s="278" t="s">
        <v>2768</v>
      </c>
      <c r="F21" s="278" t="s">
        <v>2767</v>
      </c>
      <c r="G21" s="278" t="s">
        <v>2907</v>
      </c>
      <c r="H21" s="278">
        <v>126080012</v>
      </c>
      <c r="I21" s="279" t="s">
        <v>2938</v>
      </c>
      <c r="J21" s="278" t="s">
        <v>2937</v>
      </c>
      <c r="K21" s="278">
        <v>126080007</v>
      </c>
      <c r="L21" s="278" t="s">
        <v>2907</v>
      </c>
      <c r="M21" s="278"/>
      <c r="N21" s="288">
        <v>20000</v>
      </c>
      <c r="O21" s="91">
        <v>46232</v>
      </c>
      <c r="P21" s="91" t="s">
        <v>2968</v>
      </c>
      <c r="Q21" s="90">
        <v>80</v>
      </c>
      <c r="R21" s="292">
        <f t="shared" si="0"/>
        <v>32940</v>
      </c>
      <c r="S21" s="130">
        <v>5000</v>
      </c>
      <c r="T21" s="292">
        <f t="shared" si="2"/>
        <v>27940</v>
      </c>
      <c r="U21" s="92">
        <f t="shared" si="1"/>
        <v>25399.999999999996</v>
      </c>
      <c r="V21" s="282">
        <v>508000000</v>
      </c>
      <c r="W21" s="282">
        <v>50800000</v>
      </c>
      <c r="X21" s="282">
        <v>558800000</v>
      </c>
      <c r="Y21" s="115"/>
    </row>
    <row r="22" spans="1:25" s="94" customFormat="1" ht="30" customHeight="1">
      <c r="A22" s="283"/>
      <c r="B22" s="281" t="s">
        <v>2934</v>
      </c>
      <c r="C22" s="278" t="s">
        <v>2744</v>
      </c>
      <c r="D22" s="278" t="s">
        <v>2743</v>
      </c>
      <c r="E22" s="278" t="s">
        <v>2742</v>
      </c>
      <c r="F22" s="278" t="s">
        <v>2933</v>
      </c>
      <c r="G22" s="278" t="s">
        <v>2907</v>
      </c>
      <c r="H22" s="278"/>
      <c r="I22" s="279" t="s">
        <v>2969</v>
      </c>
      <c r="J22" s="278" t="s">
        <v>2970</v>
      </c>
      <c r="K22" s="278">
        <v>126080012</v>
      </c>
      <c r="L22" s="278" t="s">
        <v>2971</v>
      </c>
      <c r="M22" s="278"/>
      <c r="N22" s="288">
        <v>12000</v>
      </c>
      <c r="O22" s="91">
        <v>46232</v>
      </c>
      <c r="P22" s="91" t="s">
        <v>2968</v>
      </c>
      <c r="Q22" s="90">
        <v>80</v>
      </c>
      <c r="R22" s="292">
        <f t="shared" si="0"/>
        <v>32610.001</v>
      </c>
      <c r="S22" s="130">
        <v>1226</v>
      </c>
      <c r="T22" s="292">
        <f t="shared" si="2"/>
        <v>31384.001</v>
      </c>
      <c r="U22" s="92">
        <f t="shared" si="1"/>
        <v>28530.909999999996</v>
      </c>
      <c r="V22" s="282">
        <v>342370920</v>
      </c>
      <c r="W22" s="282">
        <v>34237092</v>
      </c>
      <c r="X22" s="282">
        <v>376608012</v>
      </c>
      <c r="Y22" s="115"/>
    </row>
    <row r="23" spans="1:25" s="94" customFormat="1" ht="30" customHeight="1">
      <c r="A23" s="283">
        <v>13</v>
      </c>
      <c r="B23" s="281" t="s">
        <v>2769</v>
      </c>
      <c r="C23" s="278" t="s">
        <v>2744</v>
      </c>
      <c r="D23" s="278" t="s">
        <v>2743</v>
      </c>
      <c r="E23" s="278" t="s">
        <v>2768</v>
      </c>
      <c r="F23" s="278" t="s">
        <v>2767</v>
      </c>
      <c r="G23" s="278" t="s">
        <v>2907</v>
      </c>
      <c r="H23" s="278">
        <v>126080014</v>
      </c>
      <c r="I23" s="279" t="s">
        <v>2936</v>
      </c>
      <c r="J23" s="278" t="s">
        <v>2935</v>
      </c>
      <c r="K23" s="278">
        <v>126080008</v>
      </c>
      <c r="L23" s="278" t="s">
        <v>2907</v>
      </c>
      <c r="M23" s="278"/>
      <c r="N23" s="288">
        <v>20000</v>
      </c>
      <c r="O23" s="91">
        <v>46232</v>
      </c>
      <c r="P23" s="91" t="s">
        <v>2968</v>
      </c>
      <c r="Q23" s="90">
        <v>80</v>
      </c>
      <c r="R23" s="292">
        <f t="shared" si="0"/>
        <v>32940</v>
      </c>
      <c r="S23" s="130">
        <v>5000</v>
      </c>
      <c r="T23" s="90">
        <f t="shared" si="2"/>
        <v>27940</v>
      </c>
      <c r="U23" s="92">
        <f t="shared" si="1"/>
        <v>25399.999999999996</v>
      </c>
      <c r="V23" s="282">
        <v>508000000</v>
      </c>
      <c r="W23" s="282">
        <v>50800000</v>
      </c>
      <c r="X23" s="282">
        <v>558800000</v>
      </c>
      <c r="Y23" s="115"/>
    </row>
    <row r="24" spans="1:25" s="94" customFormat="1" ht="30" customHeight="1">
      <c r="A24" s="283">
        <v>14</v>
      </c>
      <c r="B24" s="281" t="s">
        <v>2934</v>
      </c>
      <c r="C24" s="278" t="s">
        <v>2744</v>
      </c>
      <c r="D24" s="278" t="s">
        <v>2743</v>
      </c>
      <c r="E24" s="278" t="s">
        <v>2763</v>
      </c>
      <c r="F24" s="278" t="s">
        <v>2933</v>
      </c>
      <c r="G24" s="278" t="s">
        <v>2907</v>
      </c>
      <c r="H24" s="278">
        <v>126080016</v>
      </c>
      <c r="I24" s="279" t="s">
        <v>2932</v>
      </c>
      <c r="J24" s="278" t="s">
        <v>2931</v>
      </c>
      <c r="K24" s="278">
        <v>126080011</v>
      </c>
      <c r="L24" s="278" t="s">
        <v>2907</v>
      </c>
      <c r="M24" s="278"/>
      <c r="N24" s="288">
        <v>14000</v>
      </c>
      <c r="O24" s="91">
        <v>46232</v>
      </c>
      <c r="P24" s="91" t="s">
        <v>2968</v>
      </c>
      <c r="Q24" s="90">
        <v>80</v>
      </c>
      <c r="R24" s="292">
        <f t="shared" si="0"/>
        <v>32900</v>
      </c>
      <c r="S24" s="130">
        <v>1229</v>
      </c>
      <c r="T24" s="292">
        <f t="shared" si="2"/>
        <v>31671</v>
      </c>
      <c r="U24" s="92">
        <f t="shared" si="1"/>
        <v>28791.818181818177</v>
      </c>
      <c r="V24" s="282">
        <v>403085454.55000001</v>
      </c>
      <c r="W24" s="282">
        <v>40308545.450000003</v>
      </c>
      <c r="X24" s="282">
        <v>443394000</v>
      </c>
      <c r="Y24" s="115"/>
    </row>
    <row r="25" spans="1:25" s="94" customFormat="1" ht="30" customHeight="1">
      <c r="A25" s="283">
        <v>15</v>
      </c>
      <c r="B25" s="281" t="s">
        <v>2795</v>
      </c>
      <c r="C25" s="278" t="s">
        <v>2744</v>
      </c>
      <c r="D25" s="278" t="s">
        <v>2743</v>
      </c>
      <c r="E25" s="278" t="s">
        <v>2794</v>
      </c>
      <c r="F25" s="278" t="s">
        <v>2793</v>
      </c>
      <c r="G25" s="278" t="s">
        <v>2907</v>
      </c>
      <c r="H25" s="278">
        <v>126080013</v>
      </c>
      <c r="I25" s="279" t="s">
        <v>2930</v>
      </c>
      <c r="J25" s="278" t="s">
        <v>2929</v>
      </c>
      <c r="K25" s="278">
        <v>126080014</v>
      </c>
      <c r="L25" s="278" t="s">
        <v>2907</v>
      </c>
      <c r="M25" s="278" t="s">
        <v>2887</v>
      </c>
      <c r="N25" s="288">
        <v>40000</v>
      </c>
      <c r="O25" s="91">
        <v>46225</v>
      </c>
      <c r="P25" s="90" t="s">
        <v>2010</v>
      </c>
      <c r="Q25" s="90">
        <v>80</v>
      </c>
      <c r="R25" s="292">
        <f t="shared" si="0"/>
        <v>31090</v>
      </c>
      <c r="S25" s="130">
        <v>2166</v>
      </c>
      <c r="T25" s="90">
        <f t="shared" si="2"/>
        <v>28924</v>
      </c>
      <c r="U25" s="92">
        <f t="shared" si="1"/>
        <v>26294.545454545452</v>
      </c>
      <c r="V25" s="282">
        <v>1051781818.1799999</v>
      </c>
      <c r="W25" s="282">
        <v>105178181.81999999</v>
      </c>
      <c r="X25" s="282">
        <v>1156960000</v>
      </c>
      <c r="Y25" s="115"/>
    </row>
    <row r="26" spans="1:25" s="94" customFormat="1" ht="30" customHeight="1">
      <c r="A26" s="283">
        <v>16</v>
      </c>
      <c r="B26" s="281" t="s">
        <v>2795</v>
      </c>
      <c r="C26" s="278" t="s">
        <v>2744</v>
      </c>
      <c r="D26" s="278" t="s">
        <v>2743</v>
      </c>
      <c r="E26" s="278" t="s">
        <v>2794</v>
      </c>
      <c r="F26" s="278" t="s">
        <v>2793</v>
      </c>
      <c r="G26" s="278" t="s">
        <v>2907</v>
      </c>
      <c r="H26" s="278">
        <v>126080015</v>
      </c>
      <c r="I26" s="279" t="s">
        <v>2928</v>
      </c>
      <c r="J26" s="278" t="s">
        <v>2927</v>
      </c>
      <c r="K26" s="278">
        <v>126080014</v>
      </c>
      <c r="L26" s="278" t="s">
        <v>2907</v>
      </c>
      <c r="M26" s="278" t="s">
        <v>2887</v>
      </c>
      <c r="N26" s="288">
        <v>40000</v>
      </c>
      <c r="O26" s="91">
        <v>46225</v>
      </c>
      <c r="P26" s="90" t="s">
        <v>2010</v>
      </c>
      <c r="Q26" s="90">
        <v>80</v>
      </c>
      <c r="R26" s="292">
        <f t="shared" si="0"/>
        <v>31090</v>
      </c>
      <c r="S26" s="130">
        <v>2166</v>
      </c>
      <c r="T26" s="292">
        <f t="shared" si="2"/>
        <v>28924</v>
      </c>
      <c r="U26" s="92">
        <f t="shared" si="1"/>
        <v>26294.545454545452</v>
      </c>
      <c r="V26" s="282">
        <v>1051781818.1799999</v>
      </c>
      <c r="W26" s="282">
        <v>105178181.81999999</v>
      </c>
      <c r="X26" s="282">
        <v>1156960000</v>
      </c>
      <c r="Y26" s="115"/>
    </row>
    <row r="27" spans="1:25" s="94" customFormat="1" ht="30" customHeight="1">
      <c r="A27" s="283">
        <v>17</v>
      </c>
      <c r="B27" s="281" t="s">
        <v>2845</v>
      </c>
      <c r="C27" s="278" t="s">
        <v>2744</v>
      </c>
      <c r="D27" s="278" t="s">
        <v>2743</v>
      </c>
      <c r="E27" s="278" t="s">
        <v>2794</v>
      </c>
      <c r="F27" s="278" t="s">
        <v>2844</v>
      </c>
      <c r="G27" s="278" t="s">
        <v>2907</v>
      </c>
      <c r="H27" s="278">
        <v>126080017</v>
      </c>
      <c r="I27" s="279" t="s">
        <v>2926</v>
      </c>
      <c r="J27" s="278" t="s">
        <v>2925</v>
      </c>
      <c r="K27" s="278">
        <v>126080015</v>
      </c>
      <c r="L27" s="278" t="s">
        <v>2907</v>
      </c>
      <c r="M27" s="278"/>
      <c r="N27" s="288">
        <v>20000</v>
      </c>
      <c r="O27" s="91">
        <v>46225</v>
      </c>
      <c r="P27" s="90" t="s">
        <v>2009</v>
      </c>
      <c r="Q27" s="90">
        <v>80</v>
      </c>
      <c r="R27" s="292">
        <f t="shared" si="0"/>
        <v>31090</v>
      </c>
      <c r="S27" s="130">
        <v>2166</v>
      </c>
      <c r="T27" s="90">
        <f t="shared" si="2"/>
        <v>28924</v>
      </c>
      <c r="U27" s="92">
        <f t="shared" si="1"/>
        <v>26294.545454545452</v>
      </c>
      <c r="V27" s="282">
        <v>525890909.08999997</v>
      </c>
      <c r="W27" s="282">
        <v>52589090.909999996</v>
      </c>
      <c r="X27" s="282">
        <v>578480000</v>
      </c>
      <c r="Y27" s="115"/>
    </row>
    <row r="28" spans="1:25" s="94" customFormat="1" ht="30" customHeight="1">
      <c r="A28" s="283">
        <v>18</v>
      </c>
      <c r="B28" s="281" t="s">
        <v>2745</v>
      </c>
      <c r="C28" s="278" t="s">
        <v>2744</v>
      </c>
      <c r="D28" s="278" t="s">
        <v>2743</v>
      </c>
      <c r="E28" s="278" t="s">
        <v>2742</v>
      </c>
      <c r="F28" s="278" t="s">
        <v>2741</v>
      </c>
      <c r="G28" s="278" t="s">
        <v>2907</v>
      </c>
      <c r="H28" s="278">
        <v>126080024</v>
      </c>
      <c r="I28" s="279" t="s">
        <v>2924</v>
      </c>
      <c r="J28" s="278" t="s">
        <v>2923</v>
      </c>
      <c r="K28" s="278">
        <v>126080016</v>
      </c>
      <c r="L28" s="278" t="s">
        <v>2907</v>
      </c>
      <c r="M28" s="278"/>
      <c r="N28" s="288">
        <v>20000</v>
      </c>
      <c r="O28" s="91">
        <v>46232</v>
      </c>
      <c r="P28" s="91" t="s">
        <v>2968</v>
      </c>
      <c r="Q28" s="90">
        <v>80</v>
      </c>
      <c r="R28" s="292">
        <f t="shared" si="0"/>
        <v>32390</v>
      </c>
      <c r="S28" s="130">
        <v>500</v>
      </c>
      <c r="T28" s="292">
        <f t="shared" si="2"/>
        <v>31890</v>
      </c>
      <c r="U28" s="92">
        <f t="shared" si="1"/>
        <v>28990.909090909085</v>
      </c>
      <c r="V28" s="282">
        <v>579818181.82000005</v>
      </c>
      <c r="W28" s="282">
        <v>57981818.18</v>
      </c>
      <c r="X28" s="282">
        <v>637800000</v>
      </c>
      <c r="Y28" s="115"/>
    </row>
    <row r="29" spans="1:25" s="94" customFormat="1" ht="30" customHeight="1">
      <c r="A29" s="283"/>
      <c r="B29" s="281" t="s">
        <v>2934</v>
      </c>
      <c r="C29" s="278" t="s">
        <v>2744</v>
      </c>
      <c r="D29" s="278" t="s">
        <v>2743</v>
      </c>
      <c r="E29" s="278" t="s">
        <v>2742</v>
      </c>
      <c r="F29" s="278" t="s">
        <v>2933</v>
      </c>
      <c r="G29" s="278" t="s">
        <v>2907</v>
      </c>
      <c r="H29" s="278"/>
      <c r="I29" s="279" t="s">
        <v>2972</v>
      </c>
      <c r="J29" s="278" t="s">
        <v>2973</v>
      </c>
      <c r="K29" s="278">
        <v>126080016</v>
      </c>
      <c r="L29" s="278" t="s">
        <v>2907</v>
      </c>
      <c r="M29" s="278"/>
      <c r="N29" s="288">
        <v>20000</v>
      </c>
      <c r="O29" s="91">
        <v>46232</v>
      </c>
      <c r="P29" s="91" t="s">
        <v>2968</v>
      </c>
      <c r="Q29" s="90">
        <v>80</v>
      </c>
      <c r="R29" s="292">
        <f t="shared" si="0"/>
        <v>32390.002</v>
      </c>
      <c r="S29" s="130">
        <v>400</v>
      </c>
      <c r="T29" s="292">
        <f t="shared" si="2"/>
        <v>31990.002</v>
      </c>
      <c r="U29" s="92">
        <f t="shared" si="1"/>
        <v>29081.819999999996</v>
      </c>
      <c r="V29" s="282">
        <v>581636400</v>
      </c>
      <c r="W29" s="282">
        <v>5816364</v>
      </c>
      <c r="X29" s="282">
        <v>639800040</v>
      </c>
      <c r="Y29" s="115"/>
    </row>
    <row r="30" spans="1:25" s="94" customFormat="1" ht="30" customHeight="1">
      <c r="A30" s="283">
        <v>19</v>
      </c>
      <c r="B30" s="281" t="s">
        <v>2751</v>
      </c>
      <c r="C30" s="278" t="s">
        <v>2744</v>
      </c>
      <c r="D30" s="278" t="s">
        <v>2743</v>
      </c>
      <c r="E30" s="278" t="s">
        <v>2750</v>
      </c>
      <c r="F30" s="278" t="s">
        <v>2749</v>
      </c>
      <c r="G30" s="278" t="s">
        <v>2907</v>
      </c>
      <c r="H30" s="278">
        <v>126080022</v>
      </c>
      <c r="I30" s="279" t="s">
        <v>2922</v>
      </c>
      <c r="J30" s="278" t="s">
        <v>2921</v>
      </c>
      <c r="K30" s="278">
        <v>126080019</v>
      </c>
      <c r="L30" s="278" t="s">
        <v>2907</v>
      </c>
      <c r="M30" s="278"/>
      <c r="N30" s="288">
        <v>20000</v>
      </c>
      <c r="O30" s="91">
        <v>46232</v>
      </c>
      <c r="P30" s="91" t="s">
        <v>2968</v>
      </c>
      <c r="Q30" s="90">
        <v>80</v>
      </c>
      <c r="R30" s="292">
        <f t="shared" si="0"/>
        <v>32420</v>
      </c>
      <c r="S30" s="130">
        <v>5000</v>
      </c>
      <c r="T30" s="90">
        <f t="shared" si="2"/>
        <v>27420</v>
      </c>
      <c r="U30" s="92">
        <f t="shared" si="1"/>
        <v>24927.272727272724</v>
      </c>
      <c r="V30" s="282">
        <v>498545454.55000001</v>
      </c>
      <c r="W30" s="282">
        <v>49854545.450000003</v>
      </c>
      <c r="X30" s="282">
        <v>548400000</v>
      </c>
      <c r="Y30" s="115"/>
    </row>
    <row r="31" spans="1:25" s="94" customFormat="1" ht="30" customHeight="1">
      <c r="A31" s="283">
        <v>20</v>
      </c>
      <c r="B31" s="281" t="s">
        <v>2789</v>
      </c>
      <c r="C31" s="278" t="s">
        <v>2744</v>
      </c>
      <c r="D31" s="278" t="s">
        <v>2743</v>
      </c>
      <c r="E31" s="278" t="s">
        <v>2742</v>
      </c>
      <c r="F31" s="278" t="s">
        <v>2788</v>
      </c>
      <c r="G31" s="278" t="s">
        <v>2907</v>
      </c>
      <c r="H31" s="278">
        <v>126080023</v>
      </c>
      <c r="I31" s="279" t="s">
        <v>2920</v>
      </c>
      <c r="J31" s="278" t="s">
        <v>2919</v>
      </c>
      <c r="K31" s="278">
        <v>126080020</v>
      </c>
      <c r="L31" s="278" t="s">
        <v>2907</v>
      </c>
      <c r="M31" s="278"/>
      <c r="N31" s="288">
        <v>8000</v>
      </c>
      <c r="O31" s="91">
        <v>46232</v>
      </c>
      <c r="P31" s="91" t="s">
        <v>2968</v>
      </c>
      <c r="Q31" s="90">
        <v>80</v>
      </c>
      <c r="R31" s="292">
        <f t="shared" si="0"/>
        <v>32390</v>
      </c>
      <c r="S31" s="130">
        <v>5000</v>
      </c>
      <c r="T31" s="292">
        <f t="shared" si="2"/>
        <v>27390</v>
      </c>
      <c r="U31" s="92">
        <f t="shared" si="1"/>
        <v>24899.999999999996</v>
      </c>
      <c r="V31" s="282">
        <v>199200000</v>
      </c>
      <c r="W31" s="282">
        <v>19920000</v>
      </c>
      <c r="X31" s="282">
        <v>219120000</v>
      </c>
      <c r="Y31" s="115"/>
    </row>
    <row r="32" spans="1:25" s="94" customFormat="1" ht="30" customHeight="1">
      <c r="A32" s="283">
        <v>21</v>
      </c>
      <c r="B32" s="281" t="s">
        <v>2918</v>
      </c>
      <c r="C32" s="278" t="s">
        <v>2744</v>
      </c>
      <c r="D32" s="278" t="s">
        <v>2743</v>
      </c>
      <c r="E32" s="278" t="s">
        <v>2750</v>
      </c>
      <c r="F32" s="278" t="s">
        <v>2917</v>
      </c>
      <c r="G32" s="278" t="s">
        <v>2907</v>
      </c>
      <c r="H32" s="278">
        <v>126080028</v>
      </c>
      <c r="I32" s="279" t="s">
        <v>2916</v>
      </c>
      <c r="J32" s="280" t="s">
        <v>2915</v>
      </c>
      <c r="K32" s="278">
        <v>126080027</v>
      </c>
      <c r="L32" s="278" t="s">
        <v>2907</v>
      </c>
      <c r="M32" s="278"/>
      <c r="N32" s="288">
        <v>2000</v>
      </c>
      <c r="O32" s="91">
        <v>46232</v>
      </c>
      <c r="P32" s="91" t="s">
        <v>2968</v>
      </c>
      <c r="Q32" s="90">
        <v>80</v>
      </c>
      <c r="R32" s="292">
        <f t="shared" si="0"/>
        <v>32420</v>
      </c>
      <c r="S32" s="130">
        <v>5000</v>
      </c>
      <c r="T32" s="90">
        <f t="shared" si="2"/>
        <v>27420</v>
      </c>
      <c r="U32" s="92">
        <f t="shared" si="1"/>
        <v>24927.272727272724</v>
      </c>
      <c r="V32" s="282">
        <v>49854545.450000003</v>
      </c>
      <c r="W32" s="282">
        <v>4985454.55</v>
      </c>
      <c r="X32" s="282">
        <v>54840000</v>
      </c>
      <c r="Y32" s="115"/>
    </row>
    <row r="33" spans="1:25" s="94" customFormat="1" ht="30" customHeight="1">
      <c r="A33" s="283">
        <v>22</v>
      </c>
      <c r="B33" s="281" t="s">
        <v>2914</v>
      </c>
      <c r="C33" s="278" t="s">
        <v>2913</v>
      </c>
      <c r="D33" s="278" t="s">
        <v>2912</v>
      </c>
      <c r="E33" s="278" t="s">
        <v>2911</v>
      </c>
      <c r="F33" s="278" t="s">
        <v>2910</v>
      </c>
      <c r="G33" s="278" t="s">
        <v>2907</v>
      </c>
      <c r="H33" s="278">
        <v>126080032</v>
      </c>
      <c r="I33" s="279" t="s">
        <v>2909</v>
      </c>
      <c r="J33" s="278" t="s">
        <v>2908</v>
      </c>
      <c r="K33" s="278">
        <v>126080026</v>
      </c>
      <c r="L33" s="278" t="s">
        <v>2907</v>
      </c>
      <c r="M33" s="278" t="s">
        <v>2906</v>
      </c>
      <c r="N33" s="288">
        <v>47000</v>
      </c>
      <c r="O33" s="91">
        <v>46232</v>
      </c>
      <c r="P33" s="91" t="s">
        <v>2968</v>
      </c>
      <c r="Q33" s="90">
        <v>80</v>
      </c>
      <c r="R33" s="292">
        <f t="shared" si="0"/>
        <v>33420</v>
      </c>
      <c r="S33" s="130">
        <v>3800</v>
      </c>
      <c r="T33" s="292">
        <f t="shared" si="2"/>
        <v>29620</v>
      </c>
      <c r="U33" s="92">
        <f t="shared" si="1"/>
        <v>26927.272727272724</v>
      </c>
      <c r="V33" s="282">
        <v>1265581818.1800001</v>
      </c>
      <c r="W33" s="282">
        <v>126558181.81999999</v>
      </c>
      <c r="X33" s="282">
        <v>1392140000</v>
      </c>
      <c r="Y33" s="115"/>
    </row>
    <row r="34" spans="1:25" s="94" customFormat="1" ht="30" customHeight="1">
      <c r="A34" s="283">
        <v>24</v>
      </c>
      <c r="B34" s="281" t="s">
        <v>2905</v>
      </c>
      <c r="C34" s="278" t="s">
        <v>2744</v>
      </c>
      <c r="D34" s="278" t="s">
        <v>2743</v>
      </c>
      <c r="E34" s="278" t="s">
        <v>2763</v>
      </c>
      <c r="F34" s="278" t="s">
        <v>2823</v>
      </c>
      <c r="G34" s="278" t="s">
        <v>2890</v>
      </c>
      <c r="H34" s="278">
        <v>126080026</v>
      </c>
      <c r="I34" s="279" t="s">
        <v>2904</v>
      </c>
      <c r="J34" s="278" t="s">
        <v>2903</v>
      </c>
      <c r="K34" s="278">
        <v>126080022</v>
      </c>
      <c r="L34" s="278" t="s">
        <v>2890</v>
      </c>
      <c r="M34" s="278"/>
      <c r="N34" s="288">
        <v>20000</v>
      </c>
      <c r="O34" s="91">
        <v>46232</v>
      </c>
      <c r="P34" s="91" t="s">
        <v>2968</v>
      </c>
      <c r="Q34" s="90">
        <v>80</v>
      </c>
      <c r="R34" s="292">
        <f t="shared" si="0"/>
        <v>32940</v>
      </c>
      <c r="S34" s="130">
        <v>5000</v>
      </c>
      <c r="T34" s="90">
        <f t="shared" si="2"/>
        <v>27940</v>
      </c>
      <c r="U34" s="92">
        <f t="shared" si="1"/>
        <v>25399.999999999996</v>
      </c>
      <c r="V34" s="282">
        <v>508000000</v>
      </c>
      <c r="W34" s="282">
        <v>50800000</v>
      </c>
      <c r="X34" s="282">
        <v>558800000</v>
      </c>
      <c r="Y34" s="115"/>
    </row>
    <row r="35" spans="1:25" s="94" customFormat="1" ht="30" customHeight="1">
      <c r="A35" s="283">
        <v>25</v>
      </c>
      <c r="B35" s="281" t="s">
        <v>2764</v>
      </c>
      <c r="C35" s="278" t="s">
        <v>2744</v>
      </c>
      <c r="D35" s="278" t="s">
        <v>2743</v>
      </c>
      <c r="E35" s="278" t="s">
        <v>2763</v>
      </c>
      <c r="F35" s="278" t="s">
        <v>2762</v>
      </c>
      <c r="G35" s="278" t="s">
        <v>2890</v>
      </c>
      <c r="H35" s="278">
        <v>126080034</v>
      </c>
      <c r="I35" s="279" t="s">
        <v>2902</v>
      </c>
      <c r="J35" s="280" t="s">
        <v>2901</v>
      </c>
      <c r="K35" s="278">
        <v>126080031</v>
      </c>
      <c r="L35" s="278" t="s">
        <v>2890</v>
      </c>
      <c r="M35" s="278"/>
      <c r="N35" s="288">
        <v>20000</v>
      </c>
      <c r="O35" s="91">
        <v>46232</v>
      </c>
      <c r="P35" s="91" t="s">
        <v>2968</v>
      </c>
      <c r="Q35" s="90">
        <v>80</v>
      </c>
      <c r="R35" s="292">
        <f t="shared" si="0"/>
        <v>32900</v>
      </c>
      <c r="S35" s="130">
        <v>4700</v>
      </c>
      <c r="T35" s="292">
        <f t="shared" si="2"/>
        <v>28200</v>
      </c>
      <c r="U35" s="92">
        <f t="shared" si="1"/>
        <v>25636.363636363632</v>
      </c>
      <c r="V35" s="282">
        <v>512727272.73000002</v>
      </c>
      <c r="W35" s="282">
        <v>51272727.270000003</v>
      </c>
      <c r="X35" s="282">
        <v>564000000</v>
      </c>
      <c r="Y35" s="115"/>
    </row>
    <row r="36" spans="1:25" s="94" customFormat="1" ht="30" customHeight="1">
      <c r="A36" s="283">
        <v>26</v>
      </c>
      <c r="B36" s="281" t="s">
        <v>2900</v>
      </c>
      <c r="C36" s="278" t="s">
        <v>2744</v>
      </c>
      <c r="D36" s="278" t="s">
        <v>2743</v>
      </c>
      <c r="E36" s="278" t="s">
        <v>2750</v>
      </c>
      <c r="F36" s="278" t="s">
        <v>2899</v>
      </c>
      <c r="G36" s="278" t="s">
        <v>2890</v>
      </c>
      <c r="H36" s="278">
        <v>126080035</v>
      </c>
      <c r="I36" s="279" t="s">
        <v>2898</v>
      </c>
      <c r="J36" s="278" t="s">
        <v>2897</v>
      </c>
      <c r="K36" s="278">
        <v>126080032</v>
      </c>
      <c r="L36" s="278" t="s">
        <v>2890</v>
      </c>
      <c r="M36" s="278"/>
      <c r="N36" s="288">
        <v>2000</v>
      </c>
      <c r="O36" s="91">
        <v>46232</v>
      </c>
      <c r="P36" s="91" t="s">
        <v>2968</v>
      </c>
      <c r="Q36" s="90">
        <v>80</v>
      </c>
      <c r="R36" s="292">
        <f t="shared" si="0"/>
        <v>32420</v>
      </c>
      <c r="S36" s="130">
        <v>4000</v>
      </c>
      <c r="T36" s="90">
        <f t="shared" si="2"/>
        <v>28420</v>
      </c>
      <c r="U36" s="92">
        <f t="shared" si="1"/>
        <v>25836.363636363632</v>
      </c>
      <c r="V36" s="282">
        <v>51672727.270000003</v>
      </c>
      <c r="W36" s="282">
        <v>5167272.7300000004</v>
      </c>
      <c r="X36" s="282">
        <v>56840000</v>
      </c>
      <c r="Y36" s="115"/>
    </row>
    <row r="37" spans="1:25" s="94" customFormat="1" ht="30" customHeight="1">
      <c r="A37" s="283">
        <v>27</v>
      </c>
      <c r="B37" s="281" t="s">
        <v>2751</v>
      </c>
      <c r="C37" s="278" t="s">
        <v>2744</v>
      </c>
      <c r="D37" s="278" t="s">
        <v>2743</v>
      </c>
      <c r="E37" s="278" t="s">
        <v>2750</v>
      </c>
      <c r="F37" s="278" t="s">
        <v>2749</v>
      </c>
      <c r="G37" s="278" t="s">
        <v>2890</v>
      </c>
      <c r="H37" s="278">
        <v>126080036</v>
      </c>
      <c r="I37" s="279" t="s">
        <v>2896</v>
      </c>
      <c r="J37" s="278" t="s">
        <v>2895</v>
      </c>
      <c r="K37" s="278">
        <v>126080033</v>
      </c>
      <c r="L37" s="278" t="s">
        <v>2890</v>
      </c>
      <c r="M37" s="278"/>
      <c r="N37" s="288">
        <v>20000</v>
      </c>
      <c r="O37" s="91">
        <v>46232</v>
      </c>
      <c r="P37" s="91" t="s">
        <v>2968</v>
      </c>
      <c r="Q37" s="90">
        <v>80</v>
      </c>
      <c r="R37" s="292">
        <f t="shared" si="0"/>
        <v>32420</v>
      </c>
      <c r="S37" s="130">
        <v>5000</v>
      </c>
      <c r="T37" s="292">
        <f t="shared" si="2"/>
        <v>27420</v>
      </c>
      <c r="U37" s="92">
        <f t="shared" si="1"/>
        <v>24927.272727272724</v>
      </c>
      <c r="V37" s="282">
        <v>498545454.55000001</v>
      </c>
      <c r="W37" s="282">
        <v>49854545.450000003</v>
      </c>
      <c r="X37" s="282">
        <v>548400000</v>
      </c>
      <c r="Y37" s="115"/>
    </row>
    <row r="38" spans="1:25" s="94" customFormat="1" ht="30" customHeight="1">
      <c r="A38" s="283">
        <v>28</v>
      </c>
      <c r="B38" s="281" t="s">
        <v>2751</v>
      </c>
      <c r="C38" s="278" t="s">
        <v>2744</v>
      </c>
      <c r="D38" s="278" t="s">
        <v>2743</v>
      </c>
      <c r="E38" s="278" t="s">
        <v>2750</v>
      </c>
      <c r="F38" s="278" t="s">
        <v>2749</v>
      </c>
      <c r="G38" s="278" t="s">
        <v>2890</v>
      </c>
      <c r="H38" s="278">
        <v>126080037</v>
      </c>
      <c r="I38" s="279" t="s">
        <v>2894</v>
      </c>
      <c r="J38" s="278" t="s">
        <v>2893</v>
      </c>
      <c r="K38" s="278">
        <v>126080033</v>
      </c>
      <c r="L38" s="278" t="s">
        <v>2890</v>
      </c>
      <c r="M38" s="278"/>
      <c r="N38" s="288">
        <v>20000</v>
      </c>
      <c r="O38" s="91">
        <v>46232</v>
      </c>
      <c r="P38" s="91" t="s">
        <v>2968</v>
      </c>
      <c r="Q38" s="90">
        <v>80</v>
      </c>
      <c r="R38" s="292">
        <f t="shared" si="0"/>
        <v>32420</v>
      </c>
      <c r="S38" s="130">
        <v>5000</v>
      </c>
      <c r="T38" s="90">
        <f t="shared" si="2"/>
        <v>27420</v>
      </c>
      <c r="U38" s="92">
        <f t="shared" si="1"/>
        <v>24927.272727272724</v>
      </c>
      <c r="V38" s="282">
        <v>498545454.55000001</v>
      </c>
      <c r="W38" s="282">
        <v>49854545.450000003</v>
      </c>
      <c r="X38" s="282">
        <v>548400000</v>
      </c>
      <c r="Y38" s="115"/>
    </row>
    <row r="39" spans="1:25" s="94" customFormat="1" ht="30" customHeight="1">
      <c r="A39" s="283">
        <v>29</v>
      </c>
      <c r="B39" s="281" t="s">
        <v>2751</v>
      </c>
      <c r="C39" s="278" t="s">
        <v>2744</v>
      </c>
      <c r="D39" s="278" t="s">
        <v>2743</v>
      </c>
      <c r="E39" s="278" t="s">
        <v>2750</v>
      </c>
      <c r="F39" s="278" t="s">
        <v>2749</v>
      </c>
      <c r="G39" s="278" t="s">
        <v>2890</v>
      </c>
      <c r="H39" s="278">
        <v>126080038</v>
      </c>
      <c r="I39" s="279" t="s">
        <v>2892</v>
      </c>
      <c r="J39" s="278" t="s">
        <v>2891</v>
      </c>
      <c r="K39" s="278">
        <v>126080034</v>
      </c>
      <c r="L39" s="278" t="s">
        <v>2890</v>
      </c>
      <c r="M39" s="278"/>
      <c r="N39" s="288">
        <v>20000</v>
      </c>
      <c r="O39" s="91">
        <v>46232</v>
      </c>
      <c r="P39" s="91" t="s">
        <v>2968</v>
      </c>
      <c r="Q39" s="90">
        <v>80</v>
      </c>
      <c r="R39" s="292">
        <f t="shared" si="0"/>
        <v>32420</v>
      </c>
      <c r="S39" s="130">
        <v>5000</v>
      </c>
      <c r="T39" s="292">
        <f t="shared" si="2"/>
        <v>27420</v>
      </c>
      <c r="U39" s="92">
        <f t="shared" si="1"/>
        <v>24927.272727272724</v>
      </c>
      <c r="V39" s="282">
        <v>498545454.55000001</v>
      </c>
      <c r="W39" s="282">
        <v>49854545.450000003</v>
      </c>
      <c r="X39" s="282">
        <v>548400000</v>
      </c>
      <c r="Y39" s="115"/>
    </row>
    <row r="40" spans="1:25" s="94" customFormat="1" ht="30" customHeight="1">
      <c r="A40" s="283">
        <v>30</v>
      </c>
      <c r="B40" s="281" t="s">
        <v>2795</v>
      </c>
      <c r="C40" s="278" t="s">
        <v>2744</v>
      </c>
      <c r="D40" s="278" t="s">
        <v>2743</v>
      </c>
      <c r="E40" s="278" t="s">
        <v>2794</v>
      </c>
      <c r="F40" s="278" t="s">
        <v>2793</v>
      </c>
      <c r="G40" s="278" t="s">
        <v>2880</v>
      </c>
      <c r="H40" s="278">
        <v>126080042</v>
      </c>
      <c r="I40" s="279" t="s">
        <v>2889</v>
      </c>
      <c r="J40" s="278" t="s">
        <v>2888</v>
      </c>
      <c r="K40" s="278">
        <v>126080039</v>
      </c>
      <c r="L40" s="278" t="s">
        <v>2880</v>
      </c>
      <c r="M40" s="278" t="s">
        <v>2887</v>
      </c>
      <c r="N40" s="288">
        <v>40000</v>
      </c>
      <c r="O40" s="91">
        <v>46232</v>
      </c>
      <c r="P40" s="91" t="s">
        <v>2968</v>
      </c>
      <c r="Q40" s="90">
        <v>80</v>
      </c>
      <c r="R40" s="292">
        <f t="shared" si="0"/>
        <v>28924</v>
      </c>
      <c r="S40" s="130"/>
      <c r="T40" s="90">
        <f t="shared" si="2"/>
        <v>28924</v>
      </c>
      <c r="U40" s="92">
        <f t="shared" si="1"/>
        <v>26294.545454545452</v>
      </c>
      <c r="V40" s="282">
        <v>1051781818.1799999</v>
      </c>
      <c r="W40" s="282">
        <v>105178181.81999999</v>
      </c>
      <c r="X40" s="282">
        <v>1156960000</v>
      </c>
      <c r="Y40" s="115"/>
    </row>
    <row r="41" spans="1:25" s="94" customFormat="1" ht="30" customHeight="1">
      <c r="A41" s="283"/>
      <c r="B41" s="281" t="s">
        <v>2934</v>
      </c>
      <c r="C41" s="278" t="s">
        <v>2744</v>
      </c>
      <c r="D41" s="278" t="s">
        <v>2743</v>
      </c>
      <c r="E41" s="278" t="s">
        <v>2742</v>
      </c>
      <c r="F41" s="278" t="s">
        <v>2933</v>
      </c>
      <c r="G41" s="278" t="s">
        <v>2880</v>
      </c>
      <c r="H41" s="278"/>
      <c r="I41" s="279" t="s">
        <v>2976</v>
      </c>
      <c r="J41" s="293">
        <v>17353</v>
      </c>
      <c r="K41" s="278">
        <v>126080039</v>
      </c>
      <c r="L41" s="278" t="s">
        <v>2880</v>
      </c>
      <c r="M41" s="278"/>
      <c r="N41" s="288">
        <v>80000</v>
      </c>
      <c r="O41" s="91">
        <v>46232</v>
      </c>
      <c r="P41" s="91" t="s">
        <v>2968</v>
      </c>
      <c r="Q41" s="90">
        <v>80</v>
      </c>
      <c r="R41" s="292">
        <f t="shared" si="0"/>
        <v>32390</v>
      </c>
      <c r="S41" s="130">
        <v>1224</v>
      </c>
      <c r="T41" s="90">
        <f t="shared" si="2"/>
        <v>31166</v>
      </c>
      <c r="U41" s="92">
        <f t="shared" si="1"/>
        <v>28332.727272727268</v>
      </c>
      <c r="V41" s="282">
        <v>2266618181.8200002</v>
      </c>
      <c r="W41" s="282">
        <v>226661818.18000001</v>
      </c>
      <c r="X41" s="282">
        <v>2493280000</v>
      </c>
      <c r="Y41" s="115"/>
    </row>
    <row r="42" spans="1:25" s="94" customFormat="1" ht="30" customHeight="1">
      <c r="A42" s="283">
        <v>31</v>
      </c>
      <c r="B42" s="281" t="s">
        <v>2975</v>
      </c>
      <c r="C42" s="278" t="s">
        <v>2744</v>
      </c>
      <c r="D42" s="278" t="s">
        <v>2743</v>
      </c>
      <c r="E42" s="278" t="s">
        <v>2742</v>
      </c>
      <c r="F42" s="278" t="s">
        <v>2741</v>
      </c>
      <c r="G42" s="278" t="s">
        <v>2880</v>
      </c>
      <c r="H42" s="278">
        <v>126080050</v>
      </c>
      <c r="I42" s="279" t="s">
        <v>2886</v>
      </c>
      <c r="J42" s="278" t="s">
        <v>2885</v>
      </c>
      <c r="K42" s="278">
        <v>126080042</v>
      </c>
      <c r="L42" s="278" t="s">
        <v>2880</v>
      </c>
      <c r="M42" s="278"/>
      <c r="N42" s="288">
        <v>20000</v>
      </c>
      <c r="O42" s="91">
        <v>46232</v>
      </c>
      <c r="P42" s="91" t="s">
        <v>2968</v>
      </c>
      <c r="Q42" s="90">
        <v>80</v>
      </c>
      <c r="R42" s="292">
        <f t="shared" si="0"/>
        <v>32390</v>
      </c>
      <c r="S42" s="130">
        <v>500</v>
      </c>
      <c r="T42" s="292">
        <f t="shared" si="2"/>
        <v>31890</v>
      </c>
      <c r="U42" s="92">
        <f t="shared" si="1"/>
        <v>28990.909090909085</v>
      </c>
      <c r="V42" s="282">
        <v>579818181.82000005</v>
      </c>
      <c r="W42" s="282">
        <v>57981818.18</v>
      </c>
      <c r="X42" s="282">
        <v>637800000</v>
      </c>
      <c r="Y42" s="115"/>
    </row>
    <row r="43" spans="1:25" s="94" customFormat="1" ht="30" customHeight="1">
      <c r="A43" s="283">
        <v>32</v>
      </c>
      <c r="B43" s="281" t="s">
        <v>2884</v>
      </c>
      <c r="C43" s="278" t="s">
        <v>2744</v>
      </c>
      <c r="D43" s="278" t="s">
        <v>2743</v>
      </c>
      <c r="E43" s="278" t="s">
        <v>2742</v>
      </c>
      <c r="F43" s="278" t="s">
        <v>2883</v>
      </c>
      <c r="G43" s="278" t="s">
        <v>2880</v>
      </c>
      <c r="H43" s="278">
        <v>126080049</v>
      </c>
      <c r="I43" s="279" t="s">
        <v>2882</v>
      </c>
      <c r="J43" s="278" t="s">
        <v>2881</v>
      </c>
      <c r="K43" s="278">
        <v>126080041</v>
      </c>
      <c r="L43" s="278" t="s">
        <v>2880</v>
      </c>
      <c r="M43" s="278"/>
      <c r="N43" s="288">
        <v>32000</v>
      </c>
      <c r="O43" s="91">
        <v>46232</v>
      </c>
      <c r="P43" s="91" t="s">
        <v>2968</v>
      </c>
      <c r="Q43" s="90">
        <v>80</v>
      </c>
      <c r="R43" s="292">
        <f t="shared" si="0"/>
        <v>32450</v>
      </c>
      <c r="S43" s="130">
        <v>4900</v>
      </c>
      <c r="T43" s="90">
        <f t="shared" si="2"/>
        <v>27550</v>
      </c>
      <c r="U43" s="92">
        <f t="shared" si="1"/>
        <v>25045.45454545454</v>
      </c>
      <c r="V43" s="282">
        <v>801454545.45000005</v>
      </c>
      <c r="W43" s="282">
        <v>80145454.549999997</v>
      </c>
      <c r="X43" s="282">
        <v>881600000</v>
      </c>
      <c r="Y43" s="115"/>
    </row>
    <row r="44" spans="1:25" s="94" customFormat="1" ht="30" customHeight="1">
      <c r="A44" s="283">
        <v>34</v>
      </c>
      <c r="B44" s="281" t="s">
        <v>2879</v>
      </c>
      <c r="C44" s="278" t="s">
        <v>2744</v>
      </c>
      <c r="D44" s="278" t="s">
        <v>2743</v>
      </c>
      <c r="E44" s="278" t="s">
        <v>2750</v>
      </c>
      <c r="F44" s="278" t="s">
        <v>2878</v>
      </c>
      <c r="G44" s="278" t="s">
        <v>2804</v>
      </c>
      <c r="H44" s="278">
        <v>126080051</v>
      </c>
      <c r="I44" s="279" t="s">
        <v>2877</v>
      </c>
      <c r="J44" s="278" t="s">
        <v>2876</v>
      </c>
      <c r="K44" s="278">
        <v>126080044</v>
      </c>
      <c r="L44" s="278" t="s">
        <v>2804</v>
      </c>
      <c r="M44" s="278"/>
      <c r="N44" s="288">
        <v>4000</v>
      </c>
      <c r="O44" s="91">
        <v>46239</v>
      </c>
      <c r="P44" s="90" t="s">
        <v>2977</v>
      </c>
      <c r="Q44" s="90">
        <v>80</v>
      </c>
      <c r="R44" s="292">
        <f t="shared" si="0"/>
        <v>31320</v>
      </c>
      <c r="S44" s="130">
        <v>4000</v>
      </c>
      <c r="T44" s="292">
        <f t="shared" si="2"/>
        <v>27320</v>
      </c>
      <c r="U44" s="92">
        <f t="shared" si="1"/>
        <v>24836.363636363632</v>
      </c>
      <c r="V44" s="282">
        <v>99345454.549999997</v>
      </c>
      <c r="W44" s="282">
        <v>9934545.4499999993</v>
      </c>
      <c r="X44" s="282">
        <v>109280000</v>
      </c>
      <c r="Y44" s="115"/>
    </row>
    <row r="45" spans="1:25" s="94" customFormat="1" ht="30" customHeight="1">
      <c r="A45" s="283">
        <v>35</v>
      </c>
      <c r="B45" s="281" t="s">
        <v>2751</v>
      </c>
      <c r="C45" s="278" t="s">
        <v>2744</v>
      </c>
      <c r="D45" s="278" t="s">
        <v>2743</v>
      </c>
      <c r="E45" s="278" t="s">
        <v>2750</v>
      </c>
      <c r="F45" s="278" t="s">
        <v>2749</v>
      </c>
      <c r="G45" s="278" t="s">
        <v>2804</v>
      </c>
      <c r="H45" s="278">
        <v>126080053</v>
      </c>
      <c r="I45" s="279" t="s">
        <v>2875</v>
      </c>
      <c r="J45" s="278" t="s">
        <v>2874</v>
      </c>
      <c r="K45" s="278">
        <v>126080043</v>
      </c>
      <c r="L45" s="278" t="s">
        <v>2804</v>
      </c>
      <c r="M45" s="278"/>
      <c r="N45" s="288">
        <v>20000</v>
      </c>
      <c r="O45" s="91">
        <v>46232</v>
      </c>
      <c r="P45" s="91" t="s">
        <v>2968</v>
      </c>
      <c r="Q45" s="90">
        <v>80</v>
      </c>
      <c r="R45" s="292">
        <f t="shared" si="0"/>
        <v>32420</v>
      </c>
      <c r="S45" s="130">
        <v>5000</v>
      </c>
      <c r="T45" s="90">
        <f t="shared" si="2"/>
        <v>27420</v>
      </c>
      <c r="U45" s="92">
        <f t="shared" si="1"/>
        <v>24927.272727272724</v>
      </c>
      <c r="V45" s="282">
        <v>498545454.55000001</v>
      </c>
      <c r="W45" s="282">
        <v>49854545.450000003</v>
      </c>
      <c r="X45" s="282">
        <v>548400000</v>
      </c>
      <c r="Y45" s="115"/>
    </row>
    <row r="46" spans="1:25" s="94" customFormat="1" ht="30" customHeight="1">
      <c r="A46" s="283">
        <v>36</v>
      </c>
      <c r="B46" s="281" t="s">
        <v>2751</v>
      </c>
      <c r="C46" s="278" t="s">
        <v>2744</v>
      </c>
      <c r="D46" s="278" t="s">
        <v>2743</v>
      </c>
      <c r="E46" s="278" t="s">
        <v>2750</v>
      </c>
      <c r="F46" s="278" t="s">
        <v>2749</v>
      </c>
      <c r="G46" s="278" t="s">
        <v>2804</v>
      </c>
      <c r="H46" s="278">
        <v>126080054</v>
      </c>
      <c r="I46" s="279" t="s">
        <v>2873</v>
      </c>
      <c r="J46" s="278" t="s">
        <v>2872</v>
      </c>
      <c r="K46" s="278">
        <v>126080043</v>
      </c>
      <c r="L46" s="278" t="s">
        <v>2804</v>
      </c>
      <c r="M46" s="278"/>
      <c r="N46" s="288">
        <v>20000</v>
      </c>
      <c r="O46" s="91">
        <v>46232</v>
      </c>
      <c r="P46" s="91" t="s">
        <v>2968</v>
      </c>
      <c r="Q46" s="90">
        <v>80</v>
      </c>
      <c r="R46" s="292">
        <f t="shared" si="0"/>
        <v>32420</v>
      </c>
      <c r="S46" s="130">
        <v>5000</v>
      </c>
      <c r="T46" s="292">
        <f t="shared" si="2"/>
        <v>27420</v>
      </c>
      <c r="U46" s="92">
        <f t="shared" si="1"/>
        <v>24927.272727272724</v>
      </c>
      <c r="V46" s="282">
        <v>498545454.55000001</v>
      </c>
      <c r="W46" s="282">
        <v>49854545.450000003</v>
      </c>
      <c r="X46" s="282">
        <v>548400000</v>
      </c>
      <c r="Y46" s="115"/>
    </row>
    <row r="47" spans="1:25" s="94" customFormat="1" ht="30" customHeight="1">
      <c r="A47" s="283">
        <v>37</v>
      </c>
      <c r="B47" s="281" t="s">
        <v>2871</v>
      </c>
      <c r="C47" s="278" t="s">
        <v>2744</v>
      </c>
      <c r="D47" s="278" t="s">
        <v>2743</v>
      </c>
      <c r="E47" s="278" t="s">
        <v>2750</v>
      </c>
      <c r="F47" s="278" t="s">
        <v>2870</v>
      </c>
      <c r="G47" s="278" t="s">
        <v>2804</v>
      </c>
      <c r="H47" s="278">
        <v>126080056</v>
      </c>
      <c r="I47" s="279" t="s">
        <v>2869</v>
      </c>
      <c r="J47" s="278" t="s">
        <v>2868</v>
      </c>
      <c r="K47" s="278">
        <v>126080047</v>
      </c>
      <c r="L47" s="278" t="s">
        <v>2804</v>
      </c>
      <c r="M47" s="278" t="s">
        <v>2867</v>
      </c>
      <c r="N47" s="288">
        <v>40000</v>
      </c>
      <c r="O47" s="91">
        <v>46239</v>
      </c>
      <c r="P47" s="90" t="s">
        <v>2977</v>
      </c>
      <c r="Q47" s="90">
        <v>80</v>
      </c>
      <c r="R47" s="292">
        <f t="shared" si="0"/>
        <v>31320</v>
      </c>
      <c r="S47" s="130">
        <v>4000</v>
      </c>
      <c r="T47" s="90">
        <f t="shared" si="2"/>
        <v>27320</v>
      </c>
      <c r="U47" s="92">
        <f t="shared" si="1"/>
        <v>24836.363636363632</v>
      </c>
      <c r="V47" s="282">
        <v>993454545.45000005</v>
      </c>
      <c r="W47" s="282">
        <v>99345454.549999997</v>
      </c>
      <c r="X47" s="282">
        <v>1092800000</v>
      </c>
      <c r="Y47" s="115"/>
    </row>
    <row r="48" spans="1:25" s="94" customFormat="1" ht="30" customHeight="1">
      <c r="A48" s="283">
        <v>38</v>
      </c>
      <c r="B48" s="281" t="s">
        <v>2866</v>
      </c>
      <c r="C48" s="278" t="s">
        <v>2744</v>
      </c>
      <c r="D48" s="278" t="s">
        <v>2743</v>
      </c>
      <c r="E48" s="278" t="s">
        <v>2763</v>
      </c>
      <c r="F48" s="278" t="s">
        <v>2865</v>
      </c>
      <c r="G48" s="278" t="s">
        <v>2804</v>
      </c>
      <c r="H48" s="278">
        <v>126080057</v>
      </c>
      <c r="I48" s="279" t="s">
        <v>2864</v>
      </c>
      <c r="J48" s="278" t="s">
        <v>2863</v>
      </c>
      <c r="K48" s="278">
        <v>126080049</v>
      </c>
      <c r="L48" s="278" t="s">
        <v>2804</v>
      </c>
      <c r="M48" s="278"/>
      <c r="N48" s="288">
        <v>16000</v>
      </c>
      <c r="O48" s="91">
        <v>46239</v>
      </c>
      <c r="P48" s="90" t="s">
        <v>2977</v>
      </c>
      <c r="Q48" s="90">
        <v>80</v>
      </c>
      <c r="R48" s="292">
        <f t="shared" si="0"/>
        <v>32080</v>
      </c>
      <c r="S48" s="130">
        <v>3700</v>
      </c>
      <c r="T48" s="292">
        <f t="shared" si="2"/>
        <v>28380</v>
      </c>
      <c r="U48" s="92">
        <f t="shared" si="1"/>
        <v>25799.999999999996</v>
      </c>
      <c r="V48" s="282">
        <v>412800000</v>
      </c>
      <c r="W48" s="282">
        <v>41280000</v>
      </c>
      <c r="X48" s="282">
        <v>454080000</v>
      </c>
      <c r="Y48" s="115"/>
    </row>
    <row r="49" spans="1:25" s="94" customFormat="1" ht="30" customHeight="1">
      <c r="A49" s="283">
        <v>39</v>
      </c>
      <c r="B49" s="281" t="s">
        <v>2850</v>
      </c>
      <c r="C49" s="278" t="s">
        <v>2744</v>
      </c>
      <c r="D49" s="278" t="s">
        <v>2743</v>
      </c>
      <c r="E49" s="278" t="s">
        <v>2794</v>
      </c>
      <c r="F49" s="278" t="s">
        <v>2849</v>
      </c>
      <c r="G49" s="278" t="s">
        <v>2804</v>
      </c>
      <c r="H49" s="278">
        <v>126080055</v>
      </c>
      <c r="I49" s="279" t="s">
        <v>2862</v>
      </c>
      <c r="J49" s="278" t="s">
        <v>2861</v>
      </c>
      <c r="K49" s="278">
        <v>126080048</v>
      </c>
      <c r="L49" s="278" t="s">
        <v>2804</v>
      </c>
      <c r="M49" s="278" t="s">
        <v>2846</v>
      </c>
      <c r="N49" s="288">
        <v>40000</v>
      </c>
      <c r="O49" s="91">
        <v>46239</v>
      </c>
      <c r="P49" s="90" t="s">
        <v>2974</v>
      </c>
      <c r="Q49" s="90">
        <v>80</v>
      </c>
      <c r="R49" s="292">
        <f t="shared" si="0"/>
        <v>29391</v>
      </c>
      <c r="S49" s="130"/>
      <c r="T49" s="90">
        <f t="shared" si="2"/>
        <v>29391</v>
      </c>
      <c r="U49" s="92">
        <f t="shared" si="1"/>
        <v>26719.090909090904</v>
      </c>
      <c r="V49" s="282">
        <v>1068763636.36</v>
      </c>
      <c r="W49" s="282">
        <v>106876363.64</v>
      </c>
      <c r="X49" s="282">
        <v>1175640000</v>
      </c>
      <c r="Y49" s="115"/>
    </row>
    <row r="50" spans="1:25" s="94" customFormat="1" ht="30" customHeight="1">
      <c r="A50" s="283">
        <v>40</v>
      </c>
      <c r="B50" s="281" t="s">
        <v>2845</v>
      </c>
      <c r="C50" s="278" t="s">
        <v>2744</v>
      </c>
      <c r="D50" s="278" t="s">
        <v>2743</v>
      </c>
      <c r="E50" s="278" t="s">
        <v>2794</v>
      </c>
      <c r="F50" s="278" t="s">
        <v>2844</v>
      </c>
      <c r="G50" s="278" t="s">
        <v>2804</v>
      </c>
      <c r="H50" s="278">
        <v>126080058</v>
      </c>
      <c r="I50" s="279" t="s">
        <v>2860</v>
      </c>
      <c r="J50" s="278" t="s">
        <v>2859</v>
      </c>
      <c r="K50" s="278">
        <v>126080051</v>
      </c>
      <c r="L50" s="278" t="s">
        <v>2804</v>
      </c>
      <c r="M50" s="278"/>
      <c r="N50" s="288">
        <v>20000</v>
      </c>
      <c r="O50" s="91"/>
      <c r="P50" s="90"/>
      <c r="Q50" s="90"/>
      <c r="R50" s="292">
        <f t="shared" si="0"/>
        <v>28924</v>
      </c>
      <c r="S50" s="130"/>
      <c r="T50" s="292">
        <f t="shared" si="2"/>
        <v>28924</v>
      </c>
      <c r="U50" s="92">
        <f t="shared" si="1"/>
        <v>26294.545454545452</v>
      </c>
      <c r="V50" s="282">
        <v>525890909.08999997</v>
      </c>
      <c r="W50" s="282">
        <v>52589090.909999996</v>
      </c>
      <c r="X50" s="282">
        <v>578480000</v>
      </c>
      <c r="Y50" s="115"/>
    </row>
    <row r="51" spans="1:25" s="94" customFormat="1" ht="30" customHeight="1">
      <c r="A51" s="283">
        <v>42</v>
      </c>
      <c r="B51" s="281" t="s">
        <v>2845</v>
      </c>
      <c r="C51" s="278" t="s">
        <v>2744</v>
      </c>
      <c r="D51" s="278" t="s">
        <v>2743</v>
      </c>
      <c r="E51" s="278" t="s">
        <v>2794</v>
      </c>
      <c r="F51" s="278" t="s">
        <v>2844</v>
      </c>
      <c r="G51" s="278" t="s">
        <v>2815</v>
      </c>
      <c r="H51" s="278">
        <v>126080059</v>
      </c>
      <c r="I51" s="279" t="s">
        <v>2858</v>
      </c>
      <c r="J51" s="278" t="s">
        <v>2857</v>
      </c>
      <c r="K51" s="278">
        <v>126080051</v>
      </c>
      <c r="L51" s="278" t="s">
        <v>2804</v>
      </c>
      <c r="M51" s="278"/>
      <c r="N51" s="288">
        <v>40000</v>
      </c>
      <c r="O51" s="91"/>
      <c r="P51" s="90"/>
      <c r="Q51" s="90"/>
      <c r="R51" s="292">
        <f t="shared" si="0"/>
        <v>28924</v>
      </c>
      <c r="S51" s="130"/>
      <c r="T51" s="90">
        <f t="shared" si="2"/>
        <v>28924</v>
      </c>
      <c r="U51" s="92">
        <f t="shared" si="1"/>
        <v>26294.545454545452</v>
      </c>
      <c r="V51" s="282">
        <v>1051781818.1799999</v>
      </c>
      <c r="W51" s="282">
        <v>105178181.81999999</v>
      </c>
      <c r="X51" s="282">
        <v>1156960000</v>
      </c>
      <c r="Y51" s="115"/>
    </row>
    <row r="52" spans="1:25" s="94" customFormat="1" ht="30" customHeight="1">
      <c r="A52" s="283">
        <v>43</v>
      </c>
      <c r="B52" s="281" t="s">
        <v>2845</v>
      </c>
      <c r="C52" s="278" t="s">
        <v>2744</v>
      </c>
      <c r="D52" s="278" t="s">
        <v>2743</v>
      </c>
      <c r="E52" s="278" t="s">
        <v>2794</v>
      </c>
      <c r="F52" s="278" t="s">
        <v>2844</v>
      </c>
      <c r="G52" s="278" t="s">
        <v>2815</v>
      </c>
      <c r="H52" s="278">
        <v>126080060</v>
      </c>
      <c r="I52" s="279" t="s">
        <v>2856</v>
      </c>
      <c r="J52" s="278" t="s">
        <v>2855</v>
      </c>
      <c r="K52" s="278">
        <v>126080051</v>
      </c>
      <c r="L52" s="278" t="s">
        <v>2804</v>
      </c>
      <c r="M52" s="278"/>
      <c r="N52" s="288">
        <v>20000</v>
      </c>
      <c r="O52" s="91">
        <v>46239</v>
      </c>
      <c r="P52" s="90" t="s">
        <v>2974</v>
      </c>
      <c r="Q52" s="90">
        <v>80</v>
      </c>
      <c r="R52" s="292">
        <f t="shared" si="0"/>
        <v>28924</v>
      </c>
      <c r="S52" s="130"/>
      <c r="T52" s="292">
        <f t="shared" si="2"/>
        <v>28924</v>
      </c>
      <c r="U52" s="92">
        <f t="shared" si="1"/>
        <v>26294.545454545452</v>
      </c>
      <c r="V52" s="282">
        <v>525890909.08999997</v>
      </c>
      <c r="W52" s="282">
        <v>52589090.909999996</v>
      </c>
      <c r="X52" s="282">
        <v>578480000</v>
      </c>
      <c r="Y52" s="115"/>
    </row>
    <row r="53" spans="1:25" s="94" customFormat="1" ht="30" customHeight="1">
      <c r="A53" s="283">
        <v>44</v>
      </c>
      <c r="B53" s="281" t="s">
        <v>2850</v>
      </c>
      <c r="C53" s="278" t="s">
        <v>2744</v>
      </c>
      <c r="D53" s="278" t="s">
        <v>2743</v>
      </c>
      <c r="E53" s="278" t="s">
        <v>2794</v>
      </c>
      <c r="F53" s="278" t="s">
        <v>2849</v>
      </c>
      <c r="G53" s="278" t="s">
        <v>2815</v>
      </c>
      <c r="H53" s="278">
        <v>126080062</v>
      </c>
      <c r="I53" s="279" t="s">
        <v>2854</v>
      </c>
      <c r="J53" s="278" t="s">
        <v>2853</v>
      </c>
      <c r="K53" s="278">
        <v>126080048</v>
      </c>
      <c r="L53" s="278" t="s">
        <v>2804</v>
      </c>
      <c r="M53" s="278" t="s">
        <v>2846</v>
      </c>
      <c r="N53" s="288">
        <v>40000</v>
      </c>
      <c r="O53" s="91"/>
      <c r="P53" s="90"/>
      <c r="Q53" s="90"/>
      <c r="R53" s="292">
        <f t="shared" si="0"/>
        <v>29391</v>
      </c>
      <c r="S53" s="130"/>
      <c r="T53" s="90">
        <f t="shared" si="2"/>
        <v>29391</v>
      </c>
      <c r="U53" s="92">
        <f t="shared" si="1"/>
        <v>26719.090909090904</v>
      </c>
      <c r="V53" s="282">
        <v>1068763636.36</v>
      </c>
      <c r="W53" s="282">
        <v>106876363.64</v>
      </c>
      <c r="X53" s="282">
        <v>1175640000</v>
      </c>
      <c r="Y53" s="115"/>
    </row>
    <row r="54" spans="1:25" s="94" customFormat="1" ht="30" customHeight="1">
      <c r="A54" s="283">
        <v>45</v>
      </c>
      <c r="B54" s="281" t="s">
        <v>2850</v>
      </c>
      <c r="C54" s="278" t="s">
        <v>2744</v>
      </c>
      <c r="D54" s="278" t="s">
        <v>2743</v>
      </c>
      <c r="E54" s="278" t="s">
        <v>2794</v>
      </c>
      <c r="F54" s="278" t="s">
        <v>2849</v>
      </c>
      <c r="G54" s="278" t="s">
        <v>2815</v>
      </c>
      <c r="H54" s="278">
        <v>126080064</v>
      </c>
      <c r="I54" s="279" t="s">
        <v>2852</v>
      </c>
      <c r="J54" s="278" t="s">
        <v>2851</v>
      </c>
      <c r="K54" s="278">
        <v>126080048</v>
      </c>
      <c r="L54" s="278" t="s">
        <v>2804</v>
      </c>
      <c r="M54" s="278" t="s">
        <v>2846</v>
      </c>
      <c r="N54" s="288">
        <v>40000</v>
      </c>
      <c r="O54" s="91"/>
      <c r="P54" s="90"/>
      <c r="Q54" s="90"/>
      <c r="R54" s="292">
        <f t="shared" si="0"/>
        <v>29391</v>
      </c>
      <c r="S54" s="130"/>
      <c r="T54" s="292">
        <f t="shared" si="2"/>
        <v>29391</v>
      </c>
      <c r="U54" s="92">
        <f t="shared" si="1"/>
        <v>26719.090909090904</v>
      </c>
      <c r="V54" s="282">
        <v>1068763636.36</v>
      </c>
      <c r="W54" s="282">
        <v>106876363.64</v>
      </c>
      <c r="X54" s="282">
        <v>1175640000</v>
      </c>
      <c r="Y54" s="115"/>
    </row>
    <row r="55" spans="1:25" s="94" customFormat="1" ht="30" customHeight="1">
      <c r="A55" s="283">
        <v>46</v>
      </c>
      <c r="B55" s="281" t="s">
        <v>2850</v>
      </c>
      <c r="C55" s="278" t="s">
        <v>2744</v>
      </c>
      <c r="D55" s="278" t="s">
        <v>2743</v>
      </c>
      <c r="E55" s="278" t="s">
        <v>2794</v>
      </c>
      <c r="F55" s="278" t="s">
        <v>2849</v>
      </c>
      <c r="G55" s="278" t="s">
        <v>2815</v>
      </c>
      <c r="H55" s="278">
        <v>126080065</v>
      </c>
      <c r="I55" s="279" t="s">
        <v>2848</v>
      </c>
      <c r="J55" s="278" t="s">
        <v>2847</v>
      </c>
      <c r="K55" s="278">
        <v>126080048</v>
      </c>
      <c r="L55" s="278" t="s">
        <v>2804</v>
      </c>
      <c r="M55" s="278" t="s">
        <v>2846</v>
      </c>
      <c r="N55" s="288">
        <v>40000</v>
      </c>
      <c r="O55" s="91"/>
      <c r="P55" s="90"/>
      <c r="Q55" s="90"/>
      <c r="R55" s="292">
        <f t="shared" si="0"/>
        <v>29391</v>
      </c>
      <c r="S55" s="130"/>
      <c r="T55" s="90">
        <f t="shared" si="2"/>
        <v>29391</v>
      </c>
      <c r="U55" s="92">
        <f t="shared" si="1"/>
        <v>26719.090909090904</v>
      </c>
      <c r="V55" s="282">
        <v>1068763636.36</v>
      </c>
      <c r="W55" s="282">
        <v>106876363.64</v>
      </c>
      <c r="X55" s="282">
        <v>1175640000</v>
      </c>
      <c r="Y55" s="115"/>
    </row>
    <row r="56" spans="1:25" s="94" customFormat="1" ht="30" customHeight="1">
      <c r="A56" s="283">
        <v>47</v>
      </c>
      <c r="B56" s="281" t="s">
        <v>2845</v>
      </c>
      <c r="C56" s="278" t="s">
        <v>2744</v>
      </c>
      <c r="D56" s="278" t="s">
        <v>2743</v>
      </c>
      <c r="E56" s="278" t="s">
        <v>2794</v>
      </c>
      <c r="F56" s="278" t="s">
        <v>2844</v>
      </c>
      <c r="G56" s="278" t="s">
        <v>2815</v>
      </c>
      <c r="H56" s="278">
        <v>126080061</v>
      </c>
      <c r="I56" s="279" t="s">
        <v>2843</v>
      </c>
      <c r="J56" s="278" t="s">
        <v>2842</v>
      </c>
      <c r="K56" s="278">
        <v>126080051</v>
      </c>
      <c r="L56" s="278" t="s">
        <v>2804</v>
      </c>
      <c r="M56" s="278"/>
      <c r="N56" s="288">
        <v>40000</v>
      </c>
      <c r="O56" s="91"/>
      <c r="P56" s="90"/>
      <c r="Q56" s="90"/>
      <c r="R56" s="292">
        <f t="shared" si="0"/>
        <v>28924</v>
      </c>
      <c r="S56" s="130"/>
      <c r="T56" s="292">
        <f t="shared" si="2"/>
        <v>28924</v>
      </c>
      <c r="U56" s="92">
        <f t="shared" si="1"/>
        <v>26294.545454545452</v>
      </c>
      <c r="V56" s="282">
        <v>1051781818.1799999</v>
      </c>
      <c r="W56" s="282">
        <v>105178181.81999999</v>
      </c>
      <c r="X56" s="282">
        <v>1156960000</v>
      </c>
      <c r="Y56" s="115"/>
    </row>
    <row r="57" spans="1:25" s="94" customFormat="1" ht="30" customHeight="1">
      <c r="A57" s="283">
        <v>48</v>
      </c>
      <c r="B57" s="281" t="s">
        <v>2841</v>
      </c>
      <c r="C57" s="278" t="s">
        <v>2744</v>
      </c>
      <c r="D57" s="278" t="s">
        <v>2743</v>
      </c>
      <c r="E57" s="278" t="s">
        <v>2742</v>
      </c>
      <c r="F57" s="278" t="s">
        <v>2840</v>
      </c>
      <c r="G57" s="278" t="s">
        <v>2815</v>
      </c>
      <c r="H57" s="278">
        <v>126080068</v>
      </c>
      <c r="I57" s="279" t="s">
        <v>2839</v>
      </c>
      <c r="J57" s="278" t="s">
        <v>2838</v>
      </c>
      <c r="K57" s="278">
        <v>126080054</v>
      </c>
      <c r="L57" s="278" t="s">
        <v>2815</v>
      </c>
      <c r="M57" s="278"/>
      <c r="N57" s="288">
        <v>2000</v>
      </c>
      <c r="O57" s="294">
        <v>46239</v>
      </c>
      <c r="P57" s="295" t="s">
        <v>2978</v>
      </c>
      <c r="Q57" s="295">
        <v>80</v>
      </c>
      <c r="R57" s="292">
        <f t="shared" si="0"/>
        <v>31290</v>
      </c>
      <c r="S57" s="130">
        <v>4000</v>
      </c>
      <c r="T57" s="90">
        <f t="shared" si="2"/>
        <v>27290</v>
      </c>
      <c r="U57" s="92">
        <f t="shared" si="1"/>
        <v>24809.090909090904</v>
      </c>
      <c r="V57" s="282">
        <v>49618181.82</v>
      </c>
      <c r="W57" s="282">
        <v>4961818.18</v>
      </c>
      <c r="X57" s="282">
        <v>54580000</v>
      </c>
      <c r="Y57" s="115"/>
    </row>
    <row r="58" spans="1:25" s="94" customFormat="1" ht="30" customHeight="1">
      <c r="A58" s="283">
        <v>49</v>
      </c>
      <c r="B58" s="281" t="s">
        <v>2795</v>
      </c>
      <c r="C58" s="278" t="s">
        <v>2744</v>
      </c>
      <c r="D58" s="278" t="s">
        <v>2743</v>
      </c>
      <c r="E58" s="278" t="s">
        <v>2794</v>
      </c>
      <c r="F58" s="278" t="s">
        <v>2793</v>
      </c>
      <c r="G58" s="278" t="s">
        <v>2815</v>
      </c>
      <c r="H58" s="278">
        <v>126080066</v>
      </c>
      <c r="I58" s="279" t="s">
        <v>2837</v>
      </c>
      <c r="J58" s="278" t="s">
        <v>2836</v>
      </c>
      <c r="K58" s="278">
        <v>126080053</v>
      </c>
      <c r="L58" s="278" t="s">
        <v>2815</v>
      </c>
      <c r="M58" s="278" t="s">
        <v>2833</v>
      </c>
      <c r="N58" s="288">
        <v>40000</v>
      </c>
      <c r="O58" s="91"/>
      <c r="P58" s="90"/>
      <c r="Q58" s="90"/>
      <c r="R58" s="292">
        <f t="shared" si="0"/>
        <v>28924</v>
      </c>
      <c r="S58" s="130"/>
      <c r="T58" s="292">
        <f t="shared" si="2"/>
        <v>28924</v>
      </c>
      <c r="U58" s="92">
        <f t="shared" si="1"/>
        <v>26294.545454545452</v>
      </c>
      <c r="V58" s="282">
        <v>1051781818.1799999</v>
      </c>
      <c r="W58" s="282">
        <v>105178181.81999999</v>
      </c>
      <c r="X58" s="282">
        <v>1156960000</v>
      </c>
      <c r="Y58" s="115"/>
    </row>
    <row r="59" spans="1:25" s="94" customFormat="1" ht="30" customHeight="1">
      <c r="A59" s="283">
        <v>50</v>
      </c>
      <c r="B59" s="281" t="s">
        <v>2795</v>
      </c>
      <c r="C59" s="278" t="s">
        <v>2744</v>
      </c>
      <c r="D59" s="278" t="s">
        <v>2743</v>
      </c>
      <c r="E59" s="278" t="s">
        <v>2794</v>
      </c>
      <c r="F59" s="278" t="s">
        <v>2793</v>
      </c>
      <c r="G59" s="278" t="s">
        <v>2815</v>
      </c>
      <c r="H59" s="278">
        <v>126080067</v>
      </c>
      <c r="I59" s="279" t="s">
        <v>2835</v>
      </c>
      <c r="J59" s="278" t="s">
        <v>2834</v>
      </c>
      <c r="K59" s="278">
        <v>126080053</v>
      </c>
      <c r="L59" s="278" t="s">
        <v>2815</v>
      </c>
      <c r="M59" s="278" t="s">
        <v>2833</v>
      </c>
      <c r="N59" s="288">
        <v>40000</v>
      </c>
      <c r="O59" s="91"/>
      <c r="P59" s="90"/>
      <c r="Q59" s="90"/>
      <c r="R59" s="292">
        <f t="shared" si="0"/>
        <v>28924</v>
      </c>
      <c r="S59" s="130"/>
      <c r="T59" s="90">
        <f t="shared" si="2"/>
        <v>28924</v>
      </c>
      <c r="U59" s="92">
        <f t="shared" si="1"/>
        <v>26294.545454545452</v>
      </c>
      <c r="V59" s="282">
        <v>1051781818.1799999</v>
      </c>
      <c r="W59" s="282">
        <v>105178181.81999999</v>
      </c>
      <c r="X59" s="282">
        <v>1156960000</v>
      </c>
      <c r="Y59" s="115"/>
    </row>
    <row r="60" spans="1:25" s="94" customFormat="1" ht="30" customHeight="1">
      <c r="A60" s="283">
        <v>51</v>
      </c>
      <c r="B60" s="281" t="s">
        <v>2832</v>
      </c>
      <c r="C60" s="278" t="s">
        <v>2744</v>
      </c>
      <c r="D60" s="278" t="s">
        <v>2743</v>
      </c>
      <c r="E60" s="278" t="s">
        <v>2742</v>
      </c>
      <c r="F60" s="278" t="s">
        <v>2831</v>
      </c>
      <c r="G60" s="278" t="s">
        <v>2815</v>
      </c>
      <c r="H60" s="278">
        <v>126080069</v>
      </c>
      <c r="I60" s="279" t="s">
        <v>2830</v>
      </c>
      <c r="J60" s="278" t="s">
        <v>2829</v>
      </c>
      <c r="K60" s="278">
        <v>126080057</v>
      </c>
      <c r="L60" s="278" t="s">
        <v>2815</v>
      </c>
      <c r="M60" s="278"/>
      <c r="N60" s="288">
        <v>20000</v>
      </c>
      <c r="O60" s="294">
        <v>46239</v>
      </c>
      <c r="P60" s="295" t="s">
        <v>2978</v>
      </c>
      <c r="Q60" s="295">
        <v>80</v>
      </c>
      <c r="R60" s="292">
        <f t="shared" si="0"/>
        <v>31370</v>
      </c>
      <c r="S60" s="130">
        <v>4000</v>
      </c>
      <c r="T60" s="292">
        <f t="shared" si="2"/>
        <v>27370</v>
      </c>
      <c r="U60" s="92">
        <f t="shared" si="1"/>
        <v>24881.818181818177</v>
      </c>
      <c r="V60" s="282">
        <v>497636363.63999999</v>
      </c>
      <c r="W60" s="282">
        <v>49763636.359999999</v>
      </c>
      <c r="X60" s="282">
        <v>547400000</v>
      </c>
      <c r="Y60" s="115"/>
    </row>
    <row r="61" spans="1:25" s="94" customFormat="1" ht="30" customHeight="1">
      <c r="A61" s="283">
        <v>52</v>
      </c>
      <c r="B61" s="281" t="s">
        <v>2751</v>
      </c>
      <c r="C61" s="278" t="s">
        <v>2744</v>
      </c>
      <c r="D61" s="278" t="s">
        <v>2743</v>
      </c>
      <c r="E61" s="278" t="s">
        <v>2750</v>
      </c>
      <c r="F61" s="278" t="s">
        <v>2749</v>
      </c>
      <c r="G61" s="278" t="s">
        <v>2815</v>
      </c>
      <c r="H61" s="278">
        <v>126080073</v>
      </c>
      <c r="I61" s="279" t="s">
        <v>2828</v>
      </c>
      <c r="J61" s="278" t="s">
        <v>2827</v>
      </c>
      <c r="K61" s="278">
        <v>126080050</v>
      </c>
      <c r="L61" s="278" t="s">
        <v>2804</v>
      </c>
      <c r="M61" s="278" t="s">
        <v>2803</v>
      </c>
      <c r="N61" s="288">
        <v>20000</v>
      </c>
      <c r="O61" s="294">
        <v>46239</v>
      </c>
      <c r="P61" s="295" t="s">
        <v>2978</v>
      </c>
      <c r="Q61" s="295">
        <v>80</v>
      </c>
      <c r="R61" s="292">
        <f t="shared" si="0"/>
        <v>31320</v>
      </c>
      <c r="S61" s="130">
        <v>4000</v>
      </c>
      <c r="T61" s="90">
        <f t="shared" si="2"/>
        <v>27320</v>
      </c>
      <c r="U61" s="92">
        <f t="shared" si="1"/>
        <v>24836.363636363632</v>
      </c>
      <c r="V61" s="282">
        <v>496727272.73000002</v>
      </c>
      <c r="W61" s="282">
        <v>49672727.270000003</v>
      </c>
      <c r="X61" s="282">
        <v>546400000</v>
      </c>
      <c r="Y61" s="115"/>
    </row>
    <row r="62" spans="1:25" s="94" customFormat="1" ht="30" customHeight="1">
      <c r="A62" s="283">
        <v>53</v>
      </c>
      <c r="B62" s="281" t="s">
        <v>2751</v>
      </c>
      <c r="C62" s="278" t="s">
        <v>2744</v>
      </c>
      <c r="D62" s="278" t="s">
        <v>2743</v>
      </c>
      <c r="E62" s="278" t="s">
        <v>2750</v>
      </c>
      <c r="F62" s="278" t="s">
        <v>2749</v>
      </c>
      <c r="G62" s="278" t="s">
        <v>2815</v>
      </c>
      <c r="H62" s="278">
        <v>126080075</v>
      </c>
      <c r="I62" s="279" t="s">
        <v>2826</v>
      </c>
      <c r="J62" s="278" t="s">
        <v>2825</v>
      </c>
      <c r="K62" s="278">
        <v>126080050</v>
      </c>
      <c r="L62" s="278" t="s">
        <v>2804</v>
      </c>
      <c r="M62" s="278" t="s">
        <v>2803</v>
      </c>
      <c r="N62" s="288">
        <v>20000</v>
      </c>
      <c r="O62" s="294">
        <v>46239</v>
      </c>
      <c r="P62" s="295" t="s">
        <v>2978</v>
      </c>
      <c r="Q62" s="295">
        <v>80</v>
      </c>
      <c r="R62" s="292">
        <f t="shared" si="0"/>
        <v>31320</v>
      </c>
      <c r="S62" s="130">
        <v>4000</v>
      </c>
      <c r="T62" s="292">
        <f t="shared" si="2"/>
        <v>27320</v>
      </c>
      <c r="U62" s="92">
        <f t="shared" si="1"/>
        <v>24836.363636363632</v>
      </c>
      <c r="V62" s="282">
        <v>496727272.73000002</v>
      </c>
      <c r="W62" s="282">
        <v>49672727.270000003</v>
      </c>
      <c r="X62" s="282">
        <v>546400000</v>
      </c>
      <c r="Y62" s="115"/>
    </row>
    <row r="63" spans="1:25" s="94" customFormat="1" ht="30" customHeight="1">
      <c r="A63" s="283">
        <v>54</v>
      </c>
      <c r="B63" s="281" t="s">
        <v>2824</v>
      </c>
      <c r="C63" s="278" t="s">
        <v>2744</v>
      </c>
      <c r="D63" s="278" t="s">
        <v>2743</v>
      </c>
      <c r="E63" s="278" t="s">
        <v>2763</v>
      </c>
      <c r="F63" s="278" t="s">
        <v>2823</v>
      </c>
      <c r="G63" s="278" t="s">
        <v>2815</v>
      </c>
      <c r="H63" s="278">
        <v>126080076</v>
      </c>
      <c r="I63" s="279" t="s">
        <v>2822</v>
      </c>
      <c r="J63" s="278" t="s">
        <v>2821</v>
      </c>
      <c r="K63" s="278">
        <v>126080060</v>
      </c>
      <c r="L63" s="278" t="s">
        <v>2815</v>
      </c>
      <c r="M63" s="278"/>
      <c r="N63" s="288">
        <v>20000</v>
      </c>
      <c r="O63" s="294">
        <v>46239</v>
      </c>
      <c r="P63" s="295" t="s">
        <v>2978</v>
      </c>
      <c r="Q63" s="295">
        <v>80</v>
      </c>
      <c r="R63" s="292">
        <f t="shared" si="0"/>
        <v>31840</v>
      </c>
      <c r="S63" s="130">
        <v>4000</v>
      </c>
      <c r="T63" s="90">
        <f t="shared" si="2"/>
        <v>27840</v>
      </c>
      <c r="U63" s="92">
        <f t="shared" si="1"/>
        <v>25309.090909090904</v>
      </c>
      <c r="V63" s="282">
        <v>506181818.18000001</v>
      </c>
      <c r="W63" s="282">
        <v>50618181.82</v>
      </c>
      <c r="X63" s="282">
        <v>556800000</v>
      </c>
      <c r="Y63" s="115"/>
    </row>
    <row r="64" spans="1:25" s="94" customFormat="1" ht="30" customHeight="1">
      <c r="A64" s="283">
        <v>55</v>
      </c>
      <c r="B64" s="281" t="s">
        <v>2745</v>
      </c>
      <c r="C64" s="278" t="s">
        <v>2744</v>
      </c>
      <c r="D64" s="278" t="s">
        <v>2743</v>
      </c>
      <c r="E64" s="278" t="s">
        <v>2742</v>
      </c>
      <c r="F64" s="278" t="s">
        <v>2741</v>
      </c>
      <c r="G64" s="278" t="s">
        <v>2815</v>
      </c>
      <c r="H64" s="278">
        <v>126080078</v>
      </c>
      <c r="I64" s="279" t="s">
        <v>2820</v>
      </c>
      <c r="J64" s="278" t="s">
        <v>2819</v>
      </c>
      <c r="K64" s="278">
        <v>126080061</v>
      </c>
      <c r="L64" s="278" t="s">
        <v>2815</v>
      </c>
      <c r="M64" s="278"/>
      <c r="N64" s="288">
        <v>20000</v>
      </c>
      <c r="O64" s="294">
        <v>46239</v>
      </c>
      <c r="P64" s="295" t="s">
        <v>2978</v>
      </c>
      <c r="Q64" s="295">
        <v>80</v>
      </c>
      <c r="R64" s="292">
        <f t="shared" si="0"/>
        <v>31290</v>
      </c>
      <c r="S64" s="130">
        <v>500</v>
      </c>
      <c r="T64" s="292">
        <f t="shared" si="2"/>
        <v>30790</v>
      </c>
      <c r="U64" s="92">
        <f t="shared" si="1"/>
        <v>27990.909090909088</v>
      </c>
      <c r="V64" s="282">
        <v>559818181.82000005</v>
      </c>
      <c r="W64" s="282">
        <v>55981818.18</v>
      </c>
      <c r="X64" s="282">
        <v>615800000</v>
      </c>
      <c r="Y64" s="115"/>
    </row>
    <row r="65" spans="1:25" s="94" customFormat="1" ht="30" customHeight="1">
      <c r="A65" s="283">
        <v>56</v>
      </c>
      <c r="B65" s="281" t="s">
        <v>2983</v>
      </c>
      <c r="C65" s="278" t="s">
        <v>2744</v>
      </c>
      <c r="D65" s="278" t="s">
        <v>2743</v>
      </c>
      <c r="E65" s="278" t="s">
        <v>2742</v>
      </c>
      <c r="F65" s="278" t="s">
        <v>2818</v>
      </c>
      <c r="G65" s="278" t="s">
        <v>2815</v>
      </c>
      <c r="H65" s="278">
        <v>126080077</v>
      </c>
      <c r="I65" s="279" t="s">
        <v>2817</v>
      </c>
      <c r="J65" s="278" t="s">
        <v>2816</v>
      </c>
      <c r="K65" s="278">
        <v>126080063</v>
      </c>
      <c r="L65" s="278" t="s">
        <v>2815</v>
      </c>
      <c r="M65" s="278"/>
      <c r="N65" s="288">
        <v>20000</v>
      </c>
      <c r="O65" s="294">
        <v>46239</v>
      </c>
      <c r="P65" s="295" t="s">
        <v>2978</v>
      </c>
      <c r="Q65" s="295">
        <v>80</v>
      </c>
      <c r="R65" s="292">
        <f t="shared" si="0"/>
        <v>31510</v>
      </c>
      <c r="S65" s="130">
        <v>4000</v>
      </c>
      <c r="T65" s="90">
        <f t="shared" si="2"/>
        <v>27510</v>
      </c>
      <c r="U65" s="92">
        <f t="shared" si="1"/>
        <v>25009.090909090904</v>
      </c>
      <c r="V65" s="282">
        <v>500181818.18000001</v>
      </c>
      <c r="W65" s="282">
        <v>50018181.82</v>
      </c>
      <c r="X65" s="282">
        <v>550200000</v>
      </c>
      <c r="Y65" s="115"/>
    </row>
    <row r="66" spans="1:25" s="94" customFormat="1" ht="30" customHeight="1">
      <c r="A66" s="283"/>
      <c r="B66" s="296" t="s">
        <v>2934</v>
      </c>
      <c r="C66" s="297" t="s">
        <v>2744</v>
      </c>
      <c r="D66" s="297" t="s">
        <v>2743</v>
      </c>
      <c r="E66" s="297" t="s">
        <v>2742</v>
      </c>
      <c r="F66" s="297" t="s">
        <v>2981</v>
      </c>
      <c r="G66" s="278" t="s">
        <v>2982</v>
      </c>
      <c r="H66" s="278"/>
      <c r="I66" s="279" t="s">
        <v>2984</v>
      </c>
      <c r="J66" s="278">
        <v>17387</v>
      </c>
      <c r="K66" s="278">
        <v>126080067</v>
      </c>
      <c r="L66" s="278" t="s">
        <v>2982</v>
      </c>
      <c r="M66" s="278"/>
      <c r="N66" s="288">
        <v>20000</v>
      </c>
      <c r="O66" s="294">
        <v>46239</v>
      </c>
      <c r="P66" s="295" t="s">
        <v>2985</v>
      </c>
      <c r="Q66" s="295">
        <v>80</v>
      </c>
      <c r="R66" s="292">
        <f t="shared" si="0"/>
        <v>31290</v>
      </c>
      <c r="S66" s="130">
        <v>400</v>
      </c>
      <c r="T66" s="90">
        <f t="shared" si="2"/>
        <v>30890</v>
      </c>
      <c r="U66" s="92">
        <f t="shared" si="1"/>
        <v>28081.818181818177</v>
      </c>
      <c r="V66" s="282">
        <v>561636363.63999999</v>
      </c>
      <c r="W66" s="282">
        <v>56163636.600000001</v>
      </c>
      <c r="X66" s="282">
        <v>617800000</v>
      </c>
      <c r="Y66" s="115"/>
    </row>
    <row r="67" spans="1:25" s="94" customFormat="1" ht="30" customHeight="1">
      <c r="A67" s="283">
        <v>57</v>
      </c>
      <c r="B67" s="281" t="s">
        <v>2980</v>
      </c>
      <c r="C67" s="278" t="s">
        <v>2979</v>
      </c>
      <c r="D67" s="278" t="s">
        <v>2743</v>
      </c>
      <c r="E67" s="278" t="s">
        <v>2742</v>
      </c>
      <c r="F67" s="278" t="s">
        <v>2814</v>
      </c>
      <c r="G67" s="278" t="s">
        <v>2811</v>
      </c>
      <c r="H67" s="278">
        <v>126080081</v>
      </c>
      <c r="I67" s="279" t="s">
        <v>2813</v>
      </c>
      <c r="J67" s="278" t="s">
        <v>2812</v>
      </c>
      <c r="K67" s="278">
        <v>126080074</v>
      </c>
      <c r="L67" s="278" t="s">
        <v>2811</v>
      </c>
      <c r="M67" s="278"/>
      <c r="N67" s="288">
        <v>20000</v>
      </c>
      <c r="O67" s="294">
        <v>46239</v>
      </c>
      <c r="P67" s="295" t="s">
        <v>2985</v>
      </c>
      <c r="Q67" s="295">
        <v>80</v>
      </c>
      <c r="R67" s="292">
        <f t="shared" si="0"/>
        <v>31290</v>
      </c>
      <c r="S67" s="130">
        <v>4000</v>
      </c>
      <c r="T67" s="292">
        <f t="shared" si="2"/>
        <v>27290</v>
      </c>
      <c r="U67" s="92">
        <f t="shared" si="1"/>
        <v>24809.090909090904</v>
      </c>
      <c r="V67" s="282">
        <v>496181818.18000001</v>
      </c>
      <c r="W67" s="282">
        <v>49618181.82</v>
      </c>
      <c r="X67" s="282">
        <v>545800000</v>
      </c>
      <c r="Y67" s="115"/>
    </row>
    <row r="68" spans="1:25" s="94" customFormat="1" ht="30" customHeight="1">
      <c r="A68" s="283">
        <v>58</v>
      </c>
      <c r="B68" s="281" t="s">
        <v>2751</v>
      </c>
      <c r="C68" s="278" t="s">
        <v>2744</v>
      </c>
      <c r="D68" s="278" t="s">
        <v>2743</v>
      </c>
      <c r="E68" s="278" t="s">
        <v>2750</v>
      </c>
      <c r="F68" s="278" t="s">
        <v>2749</v>
      </c>
      <c r="G68" s="278" t="s">
        <v>2746</v>
      </c>
      <c r="H68" s="278">
        <v>126080082</v>
      </c>
      <c r="I68" s="279" t="s">
        <v>2810</v>
      </c>
      <c r="J68" s="278" t="s">
        <v>2809</v>
      </c>
      <c r="K68" s="278">
        <v>126080050</v>
      </c>
      <c r="L68" s="278" t="s">
        <v>2804</v>
      </c>
      <c r="M68" s="278" t="s">
        <v>2803</v>
      </c>
      <c r="N68" s="288">
        <v>20000</v>
      </c>
      <c r="O68" s="294">
        <v>46239</v>
      </c>
      <c r="P68" s="295" t="s">
        <v>2978</v>
      </c>
      <c r="Q68" s="295">
        <v>80</v>
      </c>
      <c r="R68" s="292">
        <f t="shared" si="0"/>
        <v>31320</v>
      </c>
      <c r="S68" s="130">
        <v>4000</v>
      </c>
      <c r="T68" s="90">
        <f t="shared" si="2"/>
        <v>27320</v>
      </c>
      <c r="U68" s="92">
        <f t="shared" si="1"/>
        <v>24836.363636363632</v>
      </c>
      <c r="V68" s="282">
        <v>496727272.73000002</v>
      </c>
      <c r="W68" s="282">
        <v>49672727.270000003</v>
      </c>
      <c r="X68" s="282">
        <v>546400000</v>
      </c>
      <c r="Y68" s="115"/>
    </row>
    <row r="69" spans="1:25" s="94" customFormat="1" ht="30" customHeight="1">
      <c r="A69" s="283">
        <v>59</v>
      </c>
      <c r="B69" s="281" t="s">
        <v>2751</v>
      </c>
      <c r="C69" s="278" t="s">
        <v>2744</v>
      </c>
      <c r="D69" s="278" t="s">
        <v>2743</v>
      </c>
      <c r="E69" s="278" t="s">
        <v>2750</v>
      </c>
      <c r="F69" s="278" t="s">
        <v>2749</v>
      </c>
      <c r="G69" s="278" t="s">
        <v>2746</v>
      </c>
      <c r="H69" s="278">
        <v>126080083</v>
      </c>
      <c r="I69" s="279" t="s">
        <v>2808</v>
      </c>
      <c r="J69" s="278" t="s">
        <v>2807</v>
      </c>
      <c r="K69" s="278">
        <v>126080050</v>
      </c>
      <c r="L69" s="278" t="s">
        <v>2804</v>
      </c>
      <c r="M69" s="278" t="s">
        <v>2803</v>
      </c>
      <c r="N69" s="288">
        <v>20000</v>
      </c>
      <c r="O69" s="294">
        <v>46239</v>
      </c>
      <c r="P69" s="295" t="s">
        <v>2978</v>
      </c>
      <c r="Q69" s="295">
        <v>80</v>
      </c>
      <c r="R69" s="292">
        <f t="shared" si="0"/>
        <v>31320</v>
      </c>
      <c r="S69" s="130">
        <v>4000</v>
      </c>
      <c r="T69" s="292">
        <f t="shared" si="2"/>
        <v>27320</v>
      </c>
      <c r="U69" s="92">
        <f t="shared" si="1"/>
        <v>24836.363636363632</v>
      </c>
      <c r="V69" s="282">
        <v>496727272.73000002</v>
      </c>
      <c r="W69" s="282">
        <v>49672727.270000003</v>
      </c>
      <c r="X69" s="282">
        <v>546400000</v>
      </c>
      <c r="Y69" s="115"/>
    </row>
    <row r="70" spans="1:25" s="94" customFormat="1" ht="30" customHeight="1">
      <c r="A70" s="283">
        <v>60</v>
      </c>
      <c r="B70" s="281" t="s">
        <v>2751</v>
      </c>
      <c r="C70" s="278" t="s">
        <v>2744</v>
      </c>
      <c r="D70" s="278" t="s">
        <v>2743</v>
      </c>
      <c r="E70" s="278" t="s">
        <v>2750</v>
      </c>
      <c r="F70" s="278" t="s">
        <v>2749</v>
      </c>
      <c r="G70" s="278" t="s">
        <v>2746</v>
      </c>
      <c r="H70" s="278">
        <v>126080084</v>
      </c>
      <c r="I70" s="279" t="s">
        <v>2806</v>
      </c>
      <c r="J70" s="278" t="s">
        <v>2805</v>
      </c>
      <c r="K70" s="278">
        <v>126080050</v>
      </c>
      <c r="L70" s="278" t="s">
        <v>2804</v>
      </c>
      <c r="M70" s="278" t="s">
        <v>2803</v>
      </c>
      <c r="N70" s="288">
        <v>20000</v>
      </c>
      <c r="O70" s="294">
        <v>46239</v>
      </c>
      <c r="P70" s="295" t="s">
        <v>2978</v>
      </c>
      <c r="Q70" s="295">
        <v>80</v>
      </c>
      <c r="R70" s="292">
        <f t="shared" si="0"/>
        <v>31320</v>
      </c>
      <c r="S70" s="130">
        <v>4000</v>
      </c>
      <c r="T70" s="90">
        <f t="shared" si="2"/>
        <v>27320</v>
      </c>
      <c r="U70" s="92">
        <f t="shared" si="1"/>
        <v>24836.363636363632</v>
      </c>
      <c r="V70" s="282">
        <v>496727272.73000002</v>
      </c>
      <c r="W70" s="282">
        <v>49672727.270000003</v>
      </c>
      <c r="X70" s="282">
        <v>546400000</v>
      </c>
      <c r="Y70" s="115"/>
    </row>
    <row r="71" spans="1:25" s="94" customFormat="1" ht="30" customHeight="1">
      <c r="A71" s="283">
        <v>61</v>
      </c>
      <c r="B71" s="281" t="s">
        <v>2802</v>
      </c>
      <c r="C71" s="278" t="s">
        <v>2744</v>
      </c>
      <c r="D71" s="278" t="s">
        <v>2743</v>
      </c>
      <c r="E71" s="278" t="s">
        <v>2742</v>
      </c>
      <c r="F71" s="278" t="s">
        <v>2801</v>
      </c>
      <c r="G71" s="278" t="s">
        <v>2746</v>
      </c>
      <c r="H71" s="278">
        <v>126080080</v>
      </c>
      <c r="I71" s="279" t="s">
        <v>2800</v>
      </c>
      <c r="J71" s="278" t="s">
        <v>2799</v>
      </c>
      <c r="K71" s="278">
        <v>126080073</v>
      </c>
      <c r="L71" s="278" t="s">
        <v>2746</v>
      </c>
      <c r="M71" s="278"/>
      <c r="N71" s="288">
        <v>20000</v>
      </c>
      <c r="O71" s="294">
        <v>46239</v>
      </c>
      <c r="P71" s="295" t="s">
        <v>2985</v>
      </c>
      <c r="Q71" s="295">
        <v>80</v>
      </c>
      <c r="R71" s="292">
        <f t="shared" si="0"/>
        <v>32690</v>
      </c>
      <c r="S71" s="130">
        <v>5000</v>
      </c>
      <c r="T71" s="292">
        <f t="shared" si="2"/>
        <v>27690</v>
      </c>
      <c r="U71" s="92">
        <f t="shared" si="1"/>
        <v>25172.727272727268</v>
      </c>
      <c r="V71" s="282">
        <v>503454545.44999999</v>
      </c>
      <c r="W71" s="282">
        <v>50345454.549999997</v>
      </c>
      <c r="X71" s="282">
        <v>553800000</v>
      </c>
      <c r="Y71" s="115"/>
    </row>
    <row r="72" spans="1:25" s="94" customFormat="1" ht="30" customHeight="1">
      <c r="A72" s="283">
        <v>62</v>
      </c>
      <c r="B72" s="281" t="s">
        <v>2795</v>
      </c>
      <c r="C72" s="278" t="s">
        <v>2744</v>
      </c>
      <c r="D72" s="278" t="s">
        <v>2743</v>
      </c>
      <c r="E72" s="278" t="s">
        <v>2794</v>
      </c>
      <c r="F72" s="278" t="s">
        <v>2793</v>
      </c>
      <c r="G72" s="278" t="s">
        <v>2746</v>
      </c>
      <c r="H72" s="278">
        <v>126080085</v>
      </c>
      <c r="I72" s="279" t="s">
        <v>2798</v>
      </c>
      <c r="J72" s="278" t="s">
        <v>2797</v>
      </c>
      <c r="K72" s="278">
        <v>126080077</v>
      </c>
      <c r="L72" s="278" t="s">
        <v>2746</v>
      </c>
      <c r="M72" s="278" t="s">
        <v>2790</v>
      </c>
      <c r="N72" s="288">
        <v>40000</v>
      </c>
      <c r="O72" s="294">
        <v>46239</v>
      </c>
      <c r="P72" s="295" t="s">
        <v>2985</v>
      </c>
      <c r="Q72" s="295">
        <v>80</v>
      </c>
      <c r="R72" s="292">
        <f t="shared" si="0"/>
        <v>27465</v>
      </c>
      <c r="S72" s="130"/>
      <c r="T72" s="90">
        <f t="shared" si="2"/>
        <v>27465</v>
      </c>
      <c r="U72" s="92">
        <f t="shared" si="1"/>
        <v>24968.181818181813</v>
      </c>
      <c r="V72" s="282">
        <v>998727272.73000002</v>
      </c>
      <c r="W72" s="282">
        <v>99872727.269999996</v>
      </c>
      <c r="X72" s="282">
        <v>1098600000</v>
      </c>
      <c r="Y72" s="115"/>
    </row>
    <row r="73" spans="1:25" s="94" customFormat="1" ht="30" customHeight="1">
      <c r="A73" s="283">
        <v>63</v>
      </c>
      <c r="B73" s="281" t="s">
        <v>2795</v>
      </c>
      <c r="C73" s="278" t="s">
        <v>2744</v>
      </c>
      <c r="D73" s="278" t="s">
        <v>2743</v>
      </c>
      <c r="E73" s="278" t="s">
        <v>2794</v>
      </c>
      <c r="F73" s="278" t="s">
        <v>2793</v>
      </c>
      <c r="G73" s="278" t="s">
        <v>2746</v>
      </c>
      <c r="H73" s="278">
        <v>126080086</v>
      </c>
      <c r="I73" s="279" t="s">
        <v>2986</v>
      </c>
      <c r="J73" s="278" t="s">
        <v>2796</v>
      </c>
      <c r="K73" s="278">
        <v>126080077</v>
      </c>
      <c r="L73" s="278" t="s">
        <v>2746</v>
      </c>
      <c r="M73" s="278" t="s">
        <v>2790</v>
      </c>
      <c r="N73" s="288">
        <v>40000</v>
      </c>
      <c r="O73" s="91"/>
      <c r="P73" s="90"/>
      <c r="Q73" s="90"/>
      <c r="R73" s="292">
        <f t="shared" si="0"/>
        <v>27465</v>
      </c>
      <c r="S73" s="130"/>
      <c r="T73" s="292">
        <f t="shared" si="2"/>
        <v>27465</v>
      </c>
      <c r="U73" s="92">
        <f t="shared" si="1"/>
        <v>24968.181818181813</v>
      </c>
      <c r="V73" s="282">
        <v>998727272.73000002</v>
      </c>
      <c r="W73" s="282">
        <v>99872727.269999996</v>
      </c>
      <c r="X73" s="282">
        <v>1098600000</v>
      </c>
      <c r="Y73" s="115"/>
    </row>
    <row r="74" spans="1:25" s="94" customFormat="1" ht="30" customHeight="1">
      <c r="A74" s="283">
        <v>64</v>
      </c>
      <c r="B74" s="281" t="s">
        <v>2795</v>
      </c>
      <c r="C74" s="278" t="s">
        <v>2744</v>
      </c>
      <c r="D74" s="278" t="s">
        <v>2743</v>
      </c>
      <c r="E74" s="278" t="s">
        <v>2794</v>
      </c>
      <c r="F74" s="278" t="s">
        <v>2793</v>
      </c>
      <c r="G74" s="278" t="s">
        <v>2746</v>
      </c>
      <c r="H74" s="278">
        <v>126080087</v>
      </c>
      <c r="I74" s="279" t="s">
        <v>2792</v>
      </c>
      <c r="J74" s="278" t="s">
        <v>2791</v>
      </c>
      <c r="K74" s="278">
        <v>126080077</v>
      </c>
      <c r="L74" s="278" t="s">
        <v>2746</v>
      </c>
      <c r="M74" s="278" t="s">
        <v>2790</v>
      </c>
      <c r="N74" s="288">
        <v>40000</v>
      </c>
      <c r="O74" s="91"/>
      <c r="P74" s="90"/>
      <c r="Q74" s="90"/>
      <c r="R74" s="292">
        <f t="shared" si="0"/>
        <v>27465</v>
      </c>
      <c r="S74" s="130"/>
      <c r="T74" s="90">
        <f t="shared" si="2"/>
        <v>27465</v>
      </c>
      <c r="U74" s="92">
        <f t="shared" si="1"/>
        <v>24968.181818181813</v>
      </c>
      <c r="V74" s="282">
        <v>998727272.73000002</v>
      </c>
      <c r="W74" s="282">
        <v>99872727.269999996</v>
      </c>
      <c r="X74" s="282">
        <v>1098600000</v>
      </c>
      <c r="Y74" s="115"/>
    </row>
    <row r="75" spans="1:25" s="94" customFormat="1" ht="30" customHeight="1">
      <c r="A75" s="283">
        <v>65</v>
      </c>
      <c r="B75" s="281" t="s">
        <v>2789</v>
      </c>
      <c r="C75" s="278" t="s">
        <v>2744</v>
      </c>
      <c r="D75" s="278" t="s">
        <v>2743</v>
      </c>
      <c r="E75" s="278" t="s">
        <v>2742</v>
      </c>
      <c r="F75" s="278" t="s">
        <v>2788</v>
      </c>
      <c r="G75" s="278" t="s">
        <v>2746</v>
      </c>
      <c r="H75" s="278">
        <v>126080088</v>
      </c>
      <c r="I75" s="279" t="s">
        <v>2787</v>
      </c>
      <c r="J75" s="278" t="s">
        <v>2786</v>
      </c>
      <c r="K75" s="278">
        <v>126080081</v>
      </c>
      <c r="L75" s="278" t="s">
        <v>2746</v>
      </c>
      <c r="M75" s="278"/>
      <c r="N75" s="288">
        <v>8000</v>
      </c>
      <c r="O75" s="294">
        <v>46239</v>
      </c>
      <c r="P75" s="295" t="s">
        <v>2985</v>
      </c>
      <c r="Q75" s="295">
        <v>80</v>
      </c>
      <c r="R75" s="292">
        <f t="shared" si="0"/>
        <v>31290</v>
      </c>
      <c r="S75" s="130">
        <v>4700</v>
      </c>
      <c r="T75" s="292">
        <f t="shared" si="2"/>
        <v>26590</v>
      </c>
      <c r="U75" s="92">
        <f t="shared" si="1"/>
        <v>24172.727272727268</v>
      </c>
      <c r="V75" s="282">
        <v>193381818.18000001</v>
      </c>
      <c r="W75" s="282">
        <v>19338181.82</v>
      </c>
      <c r="X75" s="282">
        <v>212720000</v>
      </c>
      <c r="Y75" s="115"/>
    </row>
    <row r="76" spans="1:25" s="94" customFormat="1" ht="30" customHeight="1">
      <c r="A76" s="283">
        <v>66</v>
      </c>
      <c r="B76" s="281" t="s">
        <v>2769</v>
      </c>
      <c r="C76" s="278" t="s">
        <v>2744</v>
      </c>
      <c r="D76" s="278" t="s">
        <v>2743</v>
      </c>
      <c r="E76" s="278" t="s">
        <v>2768</v>
      </c>
      <c r="F76" s="278" t="s">
        <v>2767</v>
      </c>
      <c r="G76" s="278" t="s">
        <v>2746</v>
      </c>
      <c r="H76" s="278">
        <v>126080094</v>
      </c>
      <c r="I76" s="279" t="s">
        <v>2785</v>
      </c>
      <c r="J76" s="278" t="s">
        <v>2784</v>
      </c>
      <c r="K76" s="278">
        <v>126080079</v>
      </c>
      <c r="L76" s="278" t="s">
        <v>2746</v>
      </c>
      <c r="M76" s="278"/>
      <c r="N76" s="288">
        <v>20000</v>
      </c>
      <c r="O76" s="294">
        <v>46239</v>
      </c>
      <c r="P76" s="295" t="s">
        <v>2985</v>
      </c>
      <c r="Q76" s="295">
        <v>80</v>
      </c>
      <c r="R76" s="292">
        <f t="shared" si="0"/>
        <v>31840</v>
      </c>
      <c r="S76" s="130">
        <v>4600</v>
      </c>
      <c r="T76" s="90">
        <f t="shared" si="2"/>
        <v>27240</v>
      </c>
      <c r="U76" s="92">
        <f t="shared" si="1"/>
        <v>24763.63636363636</v>
      </c>
      <c r="V76" s="282">
        <v>495272727.26999998</v>
      </c>
      <c r="W76" s="282">
        <v>49527272.729999997</v>
      </c>
      <c r="X76" s="282">
        <v>544800000</v>
      </c>
      <c r="Y76" s="115"/>
    </row>
    <row r="77" spans="1:25" s="94" customFormat="1" ht="30" customHeight="1">
      <c r="A77" s="283">
        <v>67</v>
      </c>
      <c r="B77" s="281" t="s">
        <v>2751</v>
      </c>
      <c r="C77" s="278" t="s">
        <v>2744</v>
      </c>
      <c r="D77" s="278" t="s">
        <v>2743</v>
      </c>
      <c r="E77" s="278" t="s">
        <v>2750</v>
      </c>
      <c r="F77" s="278" t="s">
        <v>2749</v>
      </c>
      <c r="G77" s="278" t="s">
        <v>2746</v>
      </c>
      <c r="H77" s="278">
        <v>126080089</v>
      </c>
      <c r="I77" s="279" t="s">
        <v>2783</v>
      </c>
      <c r="J77" s="280" t="s">
        <v>2782</v>
      </c>
      <c r="K77" s="278">
        <v>126080083</v>
      </c>
      <c r="L77" s="278" t="s">
        <v>2746</v>
      </c>
      <c r="M77" s="278"/>
      <c r="N77" s="288">
        <v>20000</v>
      </c>
      <c r="O77" s="294">
        <v>46239</v>
      </c>
      <c r="P77" s="295" t="s">
        <v>2987</v>
      </c>
      <c r="Q77" s="295">
        <v>80</v>
      </c>
      <c r="R77" s="292">
        <f t="shared" si="0"/>
        <v>31320</v>
      </c>
      <c r="S77" s="130">
        <v>4700</v>
      </c>
      <c r="T77" s="292">
        <f t="shared" si="2"/>
        <v>26620</v>
      </c>
      <c r="U77" s="92">
        <f t="shared" si="1"/>
        <v>24199.999999999996</v>
      </c>
      <c r="V77" s="282">
        <v>484000000</v>
      </c>
      <c r="W77" s="282">
        <v>48400000</v>
      </c>
      <c r="X77" s="282">
        <v>532400000</v>
      </c>
      <c r="Y77" s="115"/>
    </row>
    <row r="78" spans="1:25" s="94" customFormat="1" ht="30" customHeight="1">
      <c r="A78" s="283">
        <v>68</v>
      </c>
      <c r="B78" s="281" t="s">
        <v>2779</v>
      </c>
      <c r="C78" s="278" t="s">
        <v>2744</v>
      </c>
      <c r="D78" s="278" t="s">
        <v>2743</v>
      </c>
      <c r="E78" s="278" t="s">
        <v>2742</v>
      </c>
      <c r="F78" s="278" t="s">
        <v>2778</v>
      </c>
      <c r="G78" s="278" t="s">
        <v>2746</v>
      </c>
      <c r="H78" s="278">
        <v>126080090</v>
      </c>
      <c r="I78" s="279" t="s">
        <v>2781</v>
      </c>
      <c r="J78" s="278" t="s">
        <v>2780</v>
      </c>
      <c r="K78" s="278">
        <v>126080089</v>
      </c>
      <c r="L78" s="278" t="s">
        <v>2746</v>
      </c>
      <c r="M78" s="278"/>
      <c r="N78" s="288">
        <v>20000</v>
      </c>
      <c r="O78" s="294">
        <v>46239</v>
      </c>
      <c r="P78" s="295" t="s">
        <v>2985</v>
      </c>
      <c r="Q78" s="295">
        <v>80</v>
      </c>
      <c r="R78" s="292">
        <f t="shared" si="0"/>
        <v>31660</v>
      </c>
      <c r="S78" s="130">
        <v>4500</v>
      </c>
      <c r="T78" s="90">
        <f t="shared" si="2"/>
        <v>27160</v>
      </c>
      <c r="U78" s="92">
        <f t="shared" si="1"/>
        <v>24690.909090909088</v>
      </c>
      <c r="V78" s="282">
        <v>493818181.81999999</v>
      </c>
      <c r="W78" s="282">
        <v>49381818.18</v>
      </c>
      <c r="X78" s="282">
        <v>543200000</v>
      </c>
      <c r="Y78" s="115"/>
    </row>
    <row r="79" spans="1:25" s="94" customFormat="1" ht="30" customHeight="1">
      <c r="A79" s="283">
        <v>70</v>
      </c>
      <c r="B79" s="281" t="s">
        <v>2779</v>
      </c>
      <c r="C79" s="278" t="s">
        <v>2744</v>
      </c>
      <c r="D79" s="278" t="s">
        <v>2743</v>
      </c>
      <c r="E79" s="278" t="s">
        <v>2742</v>
      </c>
      <c r="F79" s="278" t="s">
        <v>2778</v>
      </c>
      <c r="G79" s="278" t="s">
        <v>2746</v>
      </c>
      <c r="H79" s="278">
        <v>126080091</v>
      </c>
      <c r="I79" s="279" t="s">
        <v>2777</v>
      </c>
      <c r="J79" s="278" t="s">
        <v>2776</v>
      </c>
      <c r="K79" s="278">
        <v>126080089</v>
      </c>
      <c r="L79" s="278" t="s">
        <v>2746</v>
      </c>
      <c r="M79" s="278"/>
      <c r="N79" s="288">
        <v>20000</v>
      </c>
      <c r="O79" s="294">
        <v>46239</v>
      </c>
      <c r="P79" s="295" t="s">
        <v>2985</v>
      </c>
      <c r="Q79" s="295">
        <v>80</v>
      </c>
      <c r="R79" s="292">
        <f t="shared" si="0"/>
        <v>31660</v>
      </c>
      <c r="S79" s="130">
        <v>4500</v>
      </c>
      <c r="T79" s="292">
        <f t="shared" si="2"/>
        <v>27160</v>
      </c>
      <c r="U79" s="92">
        <f t="shared" ref="U79:U89" si="3">+T79*0.909090909090909</f>
        <v>24690.909090909088</v>
      </c>
      <c r="V79" s="282">
        <v>493818181.81999999</v>
      </c>
      <c r="W79" s="282">
        <v>49381818.18</v>
      </c>
      <c r="X79" s="282">
        <v>543200000</v>
      </c>
      <c r="Y79" s="115"/>
    </row>
    <row r="80" spans="1:25" s="94" customFormat="1" ht="30" customHeight="1">
      <c r="A80" s="283">
        <v>71</v>
      </c>
      <c r="B80" s="281" t="s">
        <v>2751</v>
      </c>
      <c r="C80" s="278" t="s">
        <v>2744</v>
      </c>
      <c r="D80" s="278" t="s">
        <v>2743</v>
      </c>
      <c r="E80" s="278" t="s">
        <v>2750</v>
      </c>
      <c r="F80" s="278" t="s">
        <v>2749</v>
      </c>
      <c r="G80" s="278" t="s">
        <v>2746</v>
      </c>
      <c r="H80" s="278">
        <v>126080092</v>
      </c>
      <c r="I80" s="279" t="s">
        <v>2775</v>
      </c>
      <c r="J80" s="278" t="s">
        <v>2774</v>
      </c>
      <c r="K80" s="278">
        <v>126080083</v>
      </c>
      <c r="L80" s="278" t="s">
        <v>2746</v>
      </c>
      <c r="M80" s="278"/>
      <c r="N80" s="288">
        <v>20000</v>
      </c>
      <c r="O80" s="294">
        <v>46239</v>
      </c>
      <c r="P80" s="295" t="s">
        <v>2985</v>
      </c>
      <c r="Q80" s="295">
        <v>80</v>
      </c>
      <c r="R80" s="292">
        <f t="shared" ref="R80:R89" si="4">+T80+S80</f>
        <v>31320</v>
      </c>
      <c r="S80" s="130">
        <v>4700</v>
      </c>
      <c r="T80" s="90">
        <f t="shared" si="2"/>
        <v>26620</v>
      </c>
      <c r="U80" s="92">
        <f t="shared" si="3"/>
        <v>24199.999999999996</v>
      </c>
      <c r="V80" s="282">
        <v>484000000</v>
      </c>
      <c r="W80" s="282">
        <v>48400000</v>
      </c>
      <c r="X80" s="282">
        <v>532400000</v>
      </c>
      <c r="Y80" s="115"/>
    </row>
    <row r="81" spans="1:28" s="94" customFormat="1" ht="30" customHeight="1">
      <c r="A81" s="283">
        <v>72</v>
      </c>
      <c r="B81" s="281" t="s">
        <v>2751</v>
      </c>
      <c r="C81" s="278" t="s">
        <v>2744</v>
      </c>
      <c r="D81" s="278" t="s">
        <v>2743</v>
      </c>
      <c r="E81" s="278" t="s">
        <v>2750</v>
      </c>
      <c r="F81" s="278" t="s">
        <v>2749</v>
      </c>
      <c r="G81" s="278" t="s">
        <v>2746</v>
      </c>
      <c r="H81" s="278">
        <v>126080093</v>
      </c>
      <c r="I81" s="279" t="s">
        <v>2773</v>
      </c>
      <c r="J81" s="278" t="s">
        <v>2772</v>
      </c>
      <c r="K81" s="278">
        <v>126080083</v>
      </c>
      <c r="L81" s="278" t="s">
        <v>2746</v>
      </c>
      <c r="M81" s="278"/>
      <c r="N81" s="288">
        <v>20000</v>
      </c>
      <c r="O81" s="294">
        <v>46239</v>
      </c>
      <c r="P81" s="295" t="s">
        <v>2987</v>
      </c>
      <c r="Q81" s="295">
        <v>80</v>
      </c>
      <c r="R81" s="292">
        <f t="shared" si="4"/>
        <v>31320</v>
      </c>
      <c r="S81" s="130">
        <v>4700</v>
      </c>
      <c r="T81" s="292">
        <f t="shared" ref="T81:T89" si="5">+X81/N81</f>
        <v>26620</v>
      </c>
      <c r="U81" s="92">
        <f t="shared" si="3"/>
        <v>24199.999999999996</v>
      </c>
      <c r="V81" s="282">
        <v>484000000</v>
      </c>
      <c r="W81" s="282">
        <v>48400000</v>
      </c>
      <c r="X81" s="282">
        <v>532400000</v>
      </c>
      <c r="Y81" s="115"/>
    </row>
    <row r="82" spans="1:28" s="94" customFormat="1" ht="30" customHeight="1">
      <c r="A82" s="283">
        <v>73</v>
      </c>
      <c r="B82" s="281" t="s">
        <v>2745</v>
      </c>
      <c r="C82" s="278" t="s">
        <v>2744</v>
      </c>
      <c r="D82" s="278" t="s">
        <v>2743</v>
      </c>
      <c r="E82" s="278" t="s">
        <v>2742</v>
      </c>
      <c r="F82" s="278" t="s">
        <v>2741</v>
      </c>
      <c r="G82" s="278" t="s">
        <v>2746</v>
      </c>
      <c r="H82" s="278">
        <v>126080095</v>
      </c>
      <c r="I82" s="279" t="s">
        <v>2771</v>
      </c>
      <c r="J82" s="278" t="s">
        <v>2770</v>
      </c>
      <c r="K82" s="278">
        <v>126080090</v>
      </c>
      <c r="L82" s="278" t="s">
        <v>2746</v>
      </c>
      <c r="M82" s="278"/>
      <c r="N82" s="288">
        <v>20000</v>
      </c>
      <c r="O82" s="294">
        <v>46239</v>
      </c>
      <c r="P82" s="295" t="s">
        <v>2985</v>
      </c>
      <c r="Q82" s="295">
        <v>80</v>
      </c>
      <c r="R82" s="292">
        <f t="shared" si="4"/>
        <v>31290</v>
      </c>
      <c r="S82" s="130">
        <v>500</v>
      </c>
      <c r="T82" s="90">
        <f t="shared" si="5"/>
        <v>30790</v>
      </c>
      <c r="U82" s="92">
        <f t="shared" si="3"/>
        <v>27990.909090909088</v>
      </c>
      <c r="V82" s="282">
        <v>559818181.82000005</v>
      </c>
      <c r="W82" s="282">
        <v>55981818.18</v>
      </c>
      <c r="X82" s="282">
        <v>615800000</v>
      </c>
      <c r="Y82" s="115"/>
    </row>
    <row r="83" spans="1:28" s="94" customFormat="1" ht="30" customHeight="1">
      <c r="A83" s="283">
        <v>74</v>
      </c>
      <c r="B83" s="281" t="s">
        <v>2769</v>
      </c>
      <c r="C83" s="278" t="s">
        <v>2744</v>
      </c>
      <c r="D83" s="278" t="s">
        <v>2743</v>
      </c>
      <c r="E83" s="278" t="s">
        <v>2768</v>
      </c>
      <c r="F83" s="278" t="s">
        <v>2767</v>
      </c>
      <c r="G83" s="278" t="s">
        <v>2746</v>
      </c>
      <c r="H83" s="278">
        <v>126080096</v>
      </c>
      <c r="I83" s="279" t="s">
        <v>2766</v>
      </c>
      <c r="J83" s="278" t="s">
        <v>2765</v>
      </c>
      <c r="K83" s="278">
        <v>126080091</v>
      </c>
      <c r="L83" s="278" t="s">
        <v>2746</v>
      </c>
      <c r="M83" s="278"/>
      <c r="N83" s="288">
        <v>20000</v>
      </c>
      <c r="O83" s="91"/>
      <c r="P83" s="90"/>
      <c r="Q83" s="90"/>
      <c r="R83" s="292">
        <f t="shared" si="4"/>
        <v>27120</v>
      </c>
      <c r="S83" s="130"/>
      <c r="T83" s="292">
        <f t="shared" si="5"/>
        <v>27120</v>
      </c>
      <c r="U83" s="92">
        <f t="shared" si="3"/>
        <v>24654.545454545452</v>
      </c>
      <c r="V83" s="282">
        <v>493090909.08999997</v>
      </c>
      <c r="W83" s="282">
        <v>49309090.909999996</v>
      </c>
      <c r="X83" s="282">
        <v>542400000</v>
      </c>
      <c r="Y83" s="115"/>
    </row>
    <row r="84" spans="1:28" s="94" customFormat="1" ht="30" customHeight="1">
      <c r="A84" s="283">
        <v>76</v>
      </c>
      <c r="B84" s="281" t="s">
        <v>2764</v>
      </c>
      <c r="C84" s="278" t="s">
        <v>2744</v>
      </c>
      <c r="D84" s="278" t="s">
        <v>2743</v>
      </c>
      <c r="E84" s="278" t="s">
        <v>2763</v>
      </c>
      <c r="F84" s="278" t="s">
        <v>2762</v>
      </c>
      <c r="G84" s="278" t="s">
        <v>2759</v>
      </c>
      <c r="H84" s="278">
        <v>126080097</v>
      </c>
      <c r="I84" s="279" t="s">
        <v>2761</v>
      </c>
      <c r="J84" s="278" t="s">
        <v>2760</v>
      </c>
      <c r="K84" s="278">
        <v>126080095</v>
      </c>
      <c r="L84" s="278" t="s">
        <v>2759</v>
      </c>
      <c r="M84" s="278"/>
      <c r="N84" s="288">
        <v>20000</v>
      </c>
      <c r="O84" s="91"/>
      <c r="P84" s="90"/>
      <c r="Q84" s="90"/>
      <c r="R84" s="292">
        <f t="shared" si="4"/>
        <v>27300</v>
      </c>
      <c r="S84" s="130"/>
      <c r="T84" s="90">
        <f t="shared" si="5"/>
        <v>27300</v>
      </c>
      <c r="U84" s="92">
        <f t="shared" si="3"/>
        <v>24818.181818181813</v>
      </c>
      <c r="V84" s="282">
        <v>496363636.36000001</v>
      </c>
      <c r="W84" s="282">
        <v>49636363.640000001</v>
      </c>
      <c r="X84" s="282">
        <v>546000000</v>
      </c>
      <c r="Y84" s="115"/>
    </row>
    <row r="85" spans="1:28" s="94" customFormat="1" ht="30" customHeight="1">
      <c r="A85" s="283">
        <v>77</v>
      </c>
      <c r="B85" s="281" t="s">
        <v>2751</v>
      </c>
      <c r="C85" s="278" t="s">
        <v>2744</v>
      </c>
      <c r="D85" s="278" t="s">
        <v>2743</v>
      </c>
      <c r="E85" s="278" t="s">
        <v>2750</v>
      </c>
      <c r="F85" s="278" t="s">
        <v>2749</v>
      </c>
      <c r="G85" s="278" t="s">
        <v>2759</v>
      </c>
      <c r="H85" s="278">
        <v>126080109</v>
      </c>
      <c r="I85" s="279" t="s">
        <v>2758</v>
      </c>
      <c r="J85" s="278" t="s">
        <v>2757</v>
      </c>
      <c r="K85" s="278">
        <v>126080083</v>
      </c>
      <c r="L85" s="278" t="s">
        <v>2746</v>
      </c>
      <c r="M85" s="278"/>
      <c r="N85" s="288">
        <v>20000</v>
      </c>
      <c r="O85" s="91">
        <v>46239</v>
      </c>
      <c r="P85" s="91" t="s">
        <v>2977</v>
      </c>
      <c r="Q85" s="90">
        <v>80</v>
      </c>
      <c r="R85" s="292">
        <f t="shared" si="4"/>
        <v>31320</v>
      </c>
      <c r="S85" s="130">
        <v>4700</v>
      </c>
      <c r="T85" s="292">
        <f t="shared" si="5"/>
        <v>26620</v>
      </c>
      <c r="U85" s="92">
        <f t="shared" si="3"/>
        <v>24199.999999999996</v>
      </c>
      <c r="V85" s="282">
        <v>484000000</v>
      </c>
      <c r="W85" s="282">
        <v>48400000</v>
      </c>
      <c r="X85" s="282">
        <v>532400000</v>
      </c>
      <c r="Y85" s="115"/>
    </row>
    <row r="86" spans="1:28" s="94" customFormat="1" ht="30" customHeight="1">
      <c r="A86" s="283">
        <v>78</v>
      </c>
      <c r="B86" s="281" t="s">
        <v>2751</v>
      </c>
      <c r="C86" s="278" t="s">
        <v>2744</v>
      </c>
      <c r="D86" s="278" t="s">
        <v>2743</v>
      </c>
      <c r="E86" s="278" t="s">
        <v>2750</v>
      </c>
      <c r="F86" s="278" t="s">
        <v>2749</v>
      </c>
      <c r="G86" s="278" t="s">
        <v>2738</v>
      </c>
      <c r="H86" s="278">
        <v>126080117</v>
      </c>
      <c r="I86" s="279" t="s">
        <v>2756</v>
      </c>
      <c r="J86" s="278" t="s">
        <v>2755</v>
      </c>
      <c r="K86" s="278">
        <v>126080098</v>
      </c>
      <c r="L86" s="278" t="s">
        <v>2738</v>
      </c>
      <c r="M86" s="278" t="s">
        <v>2752</v>
      </c>
      <c r="N86" s="288">
        <v>20000</v>
      </c>
      <c r="O86" s="91"/>
      <c r="P86" s="90"/>
      <c r="Q86" s="90"/>
      <c r="R86" s="292">
        <f t="shared" si="4"/>
        <v>26620</v>
      </c>
      <c r="S86" s="130"/>
      <c r="T86" s="90">
        <f t="shared" si="5"/>
        <v>26620</v>
      </c>
      <c r="U86" s="92">
        <f t="shared" si="3"/>
        <v>24199.999999999996</v>
      </c>
      <c r="V86" s="282">
        <v>484000000</v>
      </c>
      <c r="W86" s="282">
        <v>48400000</v>
      </c>
      <c r="X86" s="282">
        <v>532400000</v>
      </c>
      <c r="Y86" s="115"/>
    </row>
    <row r="87" spans="1:28" s="94" customFormat="1" ht="30" customHeight="1">
      <c r="A87" s="283">
        <v>79</v>
      </c>
      <c r="B87" s="281" t="s">
        <v>2751</v>
      </c>
      <c r="C87" s="278" t="s">
        <v>2744</v>
      </c>
      <c r="D87" s="278" t="s">
        <v>2743</v>
      </c>
      <c r="E87" s="278" t="s">
        <v>2750</v>
      </c>
      <c r="F87" s="278" t="s">
        <v>2749</v>
      </c>
      <c r="G87" s="278" t="s">
        <v>2738</v>
      </c>
      <c r="H87" s="278">
        <v>126080118</v>
      </c>
      <c r="I87" s="279" t="s">
        <v>2754</v>
      </c>
      <c r="J87" s="278" t="s">
        <v>2753</v>
      </c>
      <c r="K87" s="278">
        <v>126080098</v>
      </c>
      <c r="L87" s="278" t="s">
        <v>2738</v>
      </c>
      <c r="M87" s="278" t="s">
        <v>2752</v>
      </c>
      <c r="N87" s="288">
        <v>20000</v>
      </c>
      <c r="O87" s="91"/>
      <c r="P87" s="90"/>
      <c r="Q87" s="90"/>
      <c r="R87" s="292">
        <f t="shared" si="4"/>
        <v>26620</v>
      </c>
      <c r="S87" s="130"/>
      <c r="T87" s="292">
        <f t="shared" si="5"/>
        <v>26620</v>
      </c>
      <c r="U87" s="92">
        <f t="shared" si="3"/>
        <v>24199.999999999996</v>
      </c>
      <c r="V87" s="282">
        <v>484000000</v>
      </c>
      <c r="W87" s="282">
        <v>48400000</v>
      </c>
      <c r="X87" s="282">
        <v>532400000</v>
      </c>
      <c r="Y87" s="115"/>
    </row>
    <row r="88" spans="1:28" s="94" customFormat="1" ht="30" customHeight="1">
      <c r="A88" s="283">
        <v>80</v>
      </c>
      <c r="B88" s="281" t="s">
        <v>2751</v>
      </c>
      <c r="C88" s="278" t="s">
        <v>2744</v>
      </c>
      <c r="D88" s="278" t="s">
        <v>2743</v>
      </c>
      <c r="E88" s="278" t="s">
        <v>2750</v>
      </c>
      <c r="F88" s="278" t="s">
        <v>2749</v>
      </c>
      <c r="G88" s="278" t="s">
        <v>2738</v>
      </c>
      <c r="H88" s="278">
        <v>126080116</v>
      </c>
      <c r="I88" s="279" t="s">
        <v>2748</v>
      </c>
      <c r="J88" s="278" t="s">
        <v>2747</v>
      </c>
      <c r="K88" s="278">
        <v>126080083</v>
      </c>
      <c r="L88" s="278" t="s">
        <v>2746</v>
      </c>
      <c r="M88" s="278"/>
      <c r="N88" s="288">
        <v>20000</v>
      </c>
      <c r="O88" s="91">
        <v>46239</v>
      </c>
      <c r="P88" s="91" t="s">
        <v>2977</v>
      </c>
      <c r="Q88" s="90">
        <v>80</v>
      </c>
      <c r="R88" s="292">
        <f t="shared" si="4"/>
        <v>31320</v>
      </c>
      <c r="S88" s="130">
        <v>4700</v>
      </c>
      <c r="T88" s="90">
        <f t="shared" si="5"/>
        <v>26620</v>
      </c>
      <c r="U88" s="92">
        <f t="shared" si="3"/>
        <v>24199.999999999996</v>
      </c>
      <c r="V88" s="282">
        <v>484000000</v>
      </c>
      <c r="W88" s="282">
        <v>48400000</v>
      </c>
      <c r="X88" s="282">
        <v>532400000</v>
      </c>
      <c r="Y88" s="115"/>
    </row>
    <row r="89" spans="1:28" s="94" customFormat="1" ht="30" customHeight="1">
      <c r="A89" s="283">
        <v>81</v>
      </c>
      <c r="B89" s="281" t="s">
        <v>2745</v>
      </c>
      <c r="C89" s="278" t="s">
        <v>2744</v>
      </c>
      <c r="D89" s="278" t="s">
        <v>2743</v>
      </c>
      <c r="E89" s="278" t="s">
        <v>2742</v>
      </c>
      <c r="F89" s="278" t="s">
        <v>2741</v>
      </c>
      <c r="G89" s="278" t="s">
        <v>2738</v>
      </c>
      <c r="H89" s="278">
        <v>126080119</v>
      </c>
      <c r="I89" s="279" t="s">
        <v>2740</v>
      </c>
      <c r="J89" s="278" t="s">
        <v>2739</v>
      </c>
      <c r="K89" s="278">
        <v>126080099</v>
      </c>
      <c r="L89" s="278" t="s">
        <v>2738</v>
      </c>
      <c r="M89" s="278"/>
      <c r="N89" s="288">
        <v>20000</v>
      </c>
      <c r="O89" s="91">
        <v>46239</v>
      </c>
      <c r="P89" s="91" t="s">
        <v>2977</v>
      </c>
      <c r="Q89" s="90">
        <v>80</v>
      </c>
      <c r="R89" s="292">
        <f t="shared" si="4"/>
        <v>31290</v>
      </c>
      <c r="S89" s="130">
        <v>500</v>
      </c>
      <c r="T89" s="292">
        <f t="shared" si="5"/>
        <v>30790</v>
      </c>
      <c r="U89" s="92">
        <f t="shared" si="3"/>
        <v>27990.909090909088</v>
      </c>
      <c r="V89" s="282">
        <v>559818181.82000005</v>
      </c>
      <c r="W89" s="282">
        <v>55981818.18</v>
      </c>
      <c r="X89" s="282">
        <v>615800000</v>
      </c>
      <c r="Y89" s="115"/>
    </row>
    <row r="90" spans="1:28" s="101" customFormat="1" ht="29" customHeight="1">
      <c r="A90" s="95"/>
      <c r="B90" s="96" t="s">
        <v>15</v>
      </c>
      <c r="C90" s="95"/>
      <c r="D90" s="95"/>
      <c r="E90" s="95"/>
      <c r="F90" s="95"/>
      <c r="G90" s="98"/>
      <c r="H90" s="95"/>
      <c r="I90" s="97"/>
      <c r="J90" s="97"/>
      <c r="K90" s="97"/>
      <c r="L90" s="97"/>
      <c r="M90" s="97"/>
      <c r="N90" s="289">
        <f>SUM(N11:N89)</f>
        <v>1878000</v>
      </c>
      <c r="O90" s="100"/>
      <c r="P90" s="99"/>
      <c r="Q90" s="99"/>
      <c r="R90" s="99"/>
      <c r="S90" s="99"/>
      <c r="T90" s="99"/>
      <c r="U90" s="113"/>
      <c r="V90" s="113">
        <f>SUM(V11:V89)</f>
        <v>48745920047.300011</v>
      </c>
      <c r="W90" s="113">
        <f>SUM(W11:W89)</f>
        <v>4822244728.9400015</v>
      </c>
      <c r="X90" s="99">
        <f>SUM(X11:X89)</f>
        <v>53620512052</v>
      </c>
      <c r="Y90" s="66"/>
      <c r="Z90" s="66"/>
      <c r="AA90" s="66"/>
      <c r="AB90" s="66"/>
    </row>
    <row r="91" spans="1:28" ht="30" customHeight="1">
      <c r="O91" s="70"/>
    </row>
    <row r="92" spans="1:28" ht="30" customHeight="1">
      <c r="N92" s="70" t="s">
        <v>2655</v>
      </c>
    </row>
    <row r="93" spans="1:28" ht="30" customHeight="1">
      <c r="X93" s="72">
        <f>X90+'Total ນ້ຳມັນກາຊວນ NONTAX'!V14</f>
        <v>64012014328.617004</v>
      </c>
      <c r="Y93" s="72"/>
    </row>
    <row r="94" spans="1:28" ht="30" customHeight="1">
      <c r="B94" s="102" t="s">
        <v>16</v>
      </c>
      <c r="C94" s="80"/>
      <c r="D94" s="80"/>
      <c r="E94" s="103"/>
      <c r="F94" s="103"/>
      <c r="G94" s="104"/>
      <c r="H94" s="103"/>
      <c r="I94" s="103"/>
      <c r="J94" s="103"/>
      <c r="K94" s="103"/>
      <c r="L94" s="103" t="s">
        <v>28</v>
      </c>
      <c r="M94" s="103"/>
      <c r="N94" s="290">
        <v>22</v>
      </c>
      <c r="O94" s="106"/>
      <c r="P94" s="105"/>
      <c r="Q94" s="105"/>
      <c r="R94" s="105"/>
      <c r="S94" s="105"/>
      <c r="T94" s="105"/>
      <c r="U94" s="103" t="s">
        <v>46</v>
      </c>
      <c r="V94" s="103"/>
      <c r="W94" s="103"/>
      <c r="X94" s="107"/>
      <c r="Y94" s="70"/>
    </row>
    <row r="95" spans="1:28" ht="30" customHeight="1">
      <c r="G95" s="68"/>
      <c r="N95" s="291"/>
      <c r="O95" s="108"/>
      <c r="P95" s="68"/>
      <c r="Q95" s="68"/>
      <c r="R95" s="68"/>
      <c r="S95" s="68"/>
      <c r="T95" s="68"/>
      <c r="U95" s="114"/>
      <c r="V95" s="114"/>
      <c r="W95" s="114"/>
      <c r="X95" s="70"/>
    </row>
  </sheetData>
  <autoFilter ref="A9:X90" xr:uid="{EC4EE9C6-B516-A146-9B5A-3BE7E6D13B4C}">
    <sortState ref="A12:X89">
      <sortCondition ref="I9:I89"/>
    </sortState>
  </autoFilter>
  <sortState ref="A11:X89">
    <sortCondition ref="I11:I89"/>
  </sortState>
  <mergeCells count="21">
    <mergeCell ref="V9:V10"/>
    <mergeCell ref="W9:W10"/>
    <mergeCell ref="X9:X10"/>
    <mergeCell ref="M9:M10"/>
    <mergeCell ref="N9:N10"/>
    <mergeCell ref="O9:R9"/>
    <mergeCell ref="S9:S10"/>
    <mergeCell ref="T9:T10"/>
    <mergeCell ref="U9:U10"/>
    <mergeCell ref="L9:L10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</mergeCells>
  <phoneticPr fontId="3"/>
  <printOptions horizontalCentered="1"/>
  <pageMargins left="0.25" right="0.25" top="1" bottom="0.75" header="0.3" footer="0"/>
  <pageSetup paperSize="9" scale="24" fitToHeight="15" pageOrder="overThenDown" orientation="portrait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E081B-53F3-4C4B-8809-19E2824300D0}">
  <sheetPr>
    <tabColor rgb="FF92D050"/>
    <pageSetUpPr fitToPage="1"/>
  </sheetPr>
  <dimension ref="A5:Z19"/>
  <sheetViews>
    <sheetView showGridLines="0" zoomScaleNormal="100" zoomScaleSheetLayoutView="30" workbookViewId="0">
      <pane ySplit="10" topLeftCell="A11" activePane="bottomLeft" state="frozen"/>
      <selection pane="bottomLeft" activeCell="T17" sqref="T17"/>
    </sheetView>
  </sheetViews>
  <sheetFormatPr baseColWidth="10" defaultColWidth="11.5" defaultRowHeight="30" customHeight="1"/>
  <cols>
    <col min="1" max="1" width="7.33203125" style="66" customWidth="1"/>
    <col min="2" max="2" width="59" style="67" customWidth="1"/>
    <col min="3" max="5" width="12.83203125" style="66" customWidth="1"/>
    <col min="6" max="6" width="14.6640625" style="69" customWidth="1"/>
    <col min="7" max="8" width="12.83203125" style="68" customWidth="1"/>
    <col min="9" max="9" width="11.33203125" style="68" customWidth="1"/>
    <col min="10" max="11" width="12.83203125" style="68" customWidth="1"/>
    <col min="12" max="12" width="12.83203125" style="70" customWidth="1"/>
    <col min="13" max="13" width="12.83203125" style="71" customWidth="1"/>
    <col min="14" max="14" width="12.83203125" style="70" customWidth="1"/>
    <col min="15" max="15" width="12.6640625" style="70" customWidth="1"/>
    <col min="16" max="17" width="12.83203125" style="70" customWidth="1"/>
    <col min="18" max="18" width="14.5" style="70" customWidth="1"/>
    <col min="19" max="19" width="27.1640625" style="111" customWidth="1"/>
    <col min="20" max="20" width="19.5" style="111" customWidth="1"/>
    <col min="21" max="21" width="20" style="111" customWidth="1"/>
    <col min="22" max="22" width="19.5" style="72" bestFit="1" customWidth="1"/>
    <col min="23" max="23" width="19.5" style="66" bestFit="1" customWidth="1"/>
    <col min="24" max="24" width="15.33203125" style="66" bestFit="1" customWidth="1"/>
    <col min="25" max="47" width="8.1640625" style="66" customWidth="1"/>
    <col min="48" max="255" width="11.5" style="66"/>
    <col min="256" max="256" width="4.6640625" style="66" customWidth="1"/>
    <col min="257" max="257" width="10.1640625" style="66" customWidth="1"/>
    <col min="258" max="258" width="51.1640625" style="66" customWidth="1"/>
    <col min="259" max="262" width="17.6640625" style="66" customWidth="1"/>
    <col min="263" max="265" width="17.83203125" style="66" customWidth="1"/>
    <col min="266" max="266" width="0" style="66" hidden="1" customWidth="1"/>
    <col min="267" max="267" width="17.83203125" style="66" customWidth="1"/>
    <col min="268" max="268" width="22.83203125" style="66" customWidth="1"/>
    <col min="269" max="271" width="17.83203125" style="66" customWidth="1"/>
    <col min="272" max="272" width="15.6640625" style="66" customWidth="1"/>
    <col min="273" max="273" width="22.33203125" style="66" customWidth="1"/>
    <col min="274" max="276" width="17.83203125" style="66" customWidth="1"/>
    <col min="277" max="277" width="22.6640625" style="66" customWidth="1"/>
    <col min="278" max="278" width="20.33203125" style="66" customWidth="1"/>
    <col min="279" max="279" width="8.33203125" style="66" customWidth="1"/>
    <col min="280" max="280" width="28.5" style="66" bestFit="1" customWidth="1"/>
    <col min="281" max="511" width="11.5" style="66"/>
    <col min="512" max="512" width="4.6640625" style="66" customWidth="1"/>
    <col min="513" max="513" width="10.1640625" style="66" customWidth="1"/>
    <col min="514" max="514" width="51.1640625" style="66" customWidth="1"/>
    <col min="515" max="518" width="17.6640625" style="66" customWidth="1"/>
    <col min="519" max="521" width="17.83203125" style="66" customWidth="1"/>
    <col min="522" max="522" width="0" style="66" hidden="1" customWidth="1"/>
    <col min="523" max="523" width="17.83203125" style="66" customWidth="1"/>
    <col min="524" max="524" width="22.83203125" style="66" customWidth="1"/>
    <col min="525" max="527" width="17.83203125" style="66" customWidth="1"/>
    <col min="528" max="528" width="15.6640625" style="66" customWidth="1"/>
    <col min="529" max="529" width="22.33203125" style="66" customWidth="1"/>
    <col min="530" max="532" width="17.83203125" style="66" customWidth="1"/>
    <col min="533" max="533" width="22.6640625" style="66" customWidth="1"/>
    <col min="534" max="534" width="20.33203125" style="66" customWidth="1"/>
    <col min="535" max="535" width="8.33203125" style="66" customWidth="1"/>
    <col min="536" max="536" width="28.5" style="66" bestFit="1" customWidth="1"/>
    <col min="537" max="767" width="11.5" style="66"/>
    <col min="768" max="768" width="4.6640625" style="66" customWidth="1"/>
    <col min="769" max="769" width="10.1640625" style="66" customWidth="1"/>
    <col min="770" max="770" width="51.1640625" style="66" customWidth="1"/>
    <col min="771" max="774" width="17.6640625" style="66" customWidth="1"/>
    <col min="775" max="777" width="17.83203125" style="66" customWidth="1"/>
    <col min="778" max="778" width="0" style="66" hidden="1" customWidth="1"/>
    <col min="779" max="779" width="17.83203125" style="66" customWidth="1"/>
    <col min="780" max="780" width="22.83203125" style="66" customWidth="1"/>
    <col min="781" max="783" width="17.83203125" style="66" customWidth="1"/>
    <col min="784" max="784" width="15.6640625" style="66" customWidth="1"/>
    <col min="785" max="785" width="22.33203125" style="66" customWidth="1"/>
    <col min="786" max="788" width="17.83203125" style="66" customWidth="1"/>
    <col min="789" max="789" width="22.6640625" style="66" customWidth="1"/>
    <col min="790" max="790" width="20.33203125" style="66" customWidth="1"/>
    <col min="791" max="791" width="8.33203125" style="66" customWidth="1"/>
    <col min="792" max="792" width="28.5" style="66" bestFit="1" customWidth="1"/>
    <col min="793" max="1023" width="11.5" style="66"/>
    <col min="1024" max="1024" width="4.6640625" style="66" customWidth="1"/>
    <col min="1025" max="1025" width="10.1640625" style="66" customWidth="1"/>
    <col min="1026" max="1026" width="51.1640625" style="66" customWidth="1"/>
    <col min="1027" max="1030" width="17.6640625" style="66" customWidth="1"/>
    <col min="1031" max="1033" width="17.83203125" style="66" customWidth="1"/>
    <col min="1034" max="1034" width="0" style="66" hidden="1" customWidth="1"/>
    <col min="1035" max="1035" width="17.83203125" style="66" customWidth="1"/>
    <col min="1036" max="1036" width="22.83203125" style="66" customWidth="1"/>
    <col min="1037" max="1039" width="17.83203125" style="66" customWidth="1"/>
    <col min="1040" max="1040" width="15.6640625" style="66" customWidth="1"/>
    <col min="1041" max="1041" width="22.33203125" style="66" customWidth="1"/>
    <col min="1042" max="1044" width="17.83203125" style="66" customWidth="1"/>
    <col min="1045" max="1045" width="22.6640625" style="66" customWidth="1"/>
    <col min="1046" max="1046" width="20.33203125" style="66" customWidth="1"/>
    <col min="1047" max="1047" width="8.33203125" style="66" customWidth="1"/>
    <col min="1048" max="1048" width="28.5" style="66" bestFit="1" customWidth="1"/>
    <col min="1049" max="1279" width="11.5" style="66"/>
    <col min="1280" max="1280" width="4.6640625" style="66" customWidth="1"/>
    <col min="1281" max="1281" width="10.1640625" style="66" customWidth="1"/>
    <col min="1282" max="1282" width="51.1640625" style="66" customWidth="1"/>
    <col min="1283" max="1286" width="17.6640625" style="66" customWidth="1"/>
    <col min="1287" max="1289" width="17.83203125" style="66" customWidth="1"/>
    <col min="1290" max="1290" width="0" style="66" hidden="1" customWidth="1"/>
    <col min="1291" max="1291" width="17.83203125" style="66" customWidth="1"/>
    <col min="1292" max="1292" width="22.83203125" style="66" customWidth="1"/>
    <col min="1293" max="1295" width="17.83203125" style="66" customWidth="1"/>
    <col min="1296" max="1296" width="15.6640625" style="66" customWidth="1"/>
    <col min="1297" max="1297" width="22.33203125" style="66" customWidth="1"/>
    <col min="1298" max="1300" width="17.83203125" style="66" customWidth="1"/>
    <col min="1301" max="1301" width="22.6640625" style="66" customWidth="1"/>
    <col min="1302" max="1302" width="20.33203125" style="66" customWidth="1"/>
    <col min="1303" max="1303" width="8.33203125" style="66" customWidth="1"/>
    <col min="1304" max="1304" width="28.5" style="66" bestFit="1" customWidth="1"/>
    <col min="1305" max="1535" width="11.5" style="66"/>
    <col min="1536" max="1536" width="4.6640625" style="66" customWidth="1"/>
    <col min="1537" max="1537" width="10.1640625" style="66" customWidth="1"/>
    <col min="1538" max="1538" width="51.1640625" style="66" customWidth="1"/>
    <col min="1539" max="1542" width="17.6640625" style="66" customWidth="1"/>
    <col min="1543" max="1545" width="17.83203125" style="66" customWidth="1"/>
    <col min="1546" max="1546" width="0" style="66" hidden="1" customWidth="1"/>
    <col min="1547" max="1547" width="17.83203125" style="66" customWidth="1"/>
    <col min="1548" max="1548" width="22.83203125" style="66" customWidth="1"/>
    <col min="1549" max="1551" width="17.83203125" style="66" customWidth="1"/>
    <col min="1552" max="1552" width="15.6640625" style="66" customWidth="1"/>
    <col min="1553" max="1553" width="22.33203125" style="66" customWidth="1"/>
    <col min="1554" max="1556" width="17.83203125" style="66" customWidth="1"/>
    <col min="1557" max="1557" width="22.6640625" style="66" customWidth="1"/>
    <col min="1558" max="1558" width="20.33203125" style="66" customWidth="1"/>
    <col min="1559" max="1559" width="8.33203125" style="66" customWidth="1"/>
    <col min="1560" max="1560" width="28.5" style="66" bestFit="1" customWidth="1"/>
    <col min="1561" max="1791" width="11.5" style="66"/>
    <col min="1792" max="1792" width="4.6640625" style="66" customWidth="1"/>
    <col min="1793" max="1793" width="10.1640625" style="66" customWidth="1"/>
    <col min="1794" max="1794" width="51.1640625" style="66" customWidth="1"/>
    <col min="1795" max="1798" width="17.6640625" style="66" customWidth="1"/>
    <col min="1799" max="1801" width="17.83203125" style="66" customWidth="1"/>
    <col min="1802" max="1802" width="0" style="66" hidden="1" customWidth="1"/>
    <col min="1803" max="1803" width="17.83203125" style="66" customWidth="1"/>
    <col min="1804" max="1804" width="22.83203125" style="66" customWidth="1"/>
    <col min="1805" max="1807" width="17.83203125" style="66" customWidth="1"/>
    <col min="1808" max="1808" width="15.6640625" style="66" customWidth="1"/>
    <col min="1809" max="1809" width="22.33203125" style="66" customWidth="1"/>
    <col min="1810" max="1812" width="17.83203125" style="66" customWidth="1"/>
    <col min="1813" max="1813" width="22.6640625" style="66" customWidth="1"/>
    <col min="1814" max="1814" width="20.33203125" style="66" customWidth="1"/>
    <col min="1815" max="1815" width="8.33203125" style="66" customWidth="1"/>
    <col min="1816" max="1816" width="28.5" style="66" bestFit="1" customWidth="1"/>
    <col min="1817" max="2047" width="11.5" style="66"/>
    <col min="2048" max="2048" width="4.6640625" style="66" customWidth="1"/>
    <col min="2049" max="2049" width="10.1640625" style="66" customWidth="1"/>
    <col min="2050" max="2050" width="51.1640625" style="66" customWidth="1"/>
    <col min="2051" max="2054" width="17.6640625" style="66" customWidth="1"/>
    <col min="2055" max="2057" width="17.83203125" style="66" customWidth="1"/>
    <col min="2058" max="2058" width="0" style="66" hidden="1" customWidth="1"/>
    <col min="2059" max="2059" width="17.83203125" style="66" customWidth="1"/>
    <col min="2060" max="2060" width="22.83203125" style="66" customWidth="1"/>
    <col min="2061" max="2063" width="17.83203125" style="66" customWidth="1"/>
    <col min="2064" max="2064" width="15.6640625" style="66" customWidth="1"/>
    <col min="2065" max="2065" width="22.33203125" style="66" customWidth="1"/>
    <col min="2066" max="2068" width="17.83203125" style="66" customWidth="1"/>
    <col min="2069" max="2069" width="22.6640625" style="66" customWidth="1"/>
    <col min="2070" max="2070" width="20.33203125" style="66" customWidth="1"/>
    <col min="2071" max="2071" width="8.33203125" style="66" customWidth="1"/>
    <col min="2072" max="2072" width="28.5" style="66" bestFit="1" customWidth="1"/>
    <col min="2073" max="2303" width="11.5" style="66"/>
    <col min="2304" max="2304" width="4.6640625" style="66" customWidth="1"/>
    <col min="2305" max="2305" width="10.1640625" style="66" customWidth="1"/>
    <col min="2306" max="2306" width="51.1640625" style="66" customWidth="1"/>
    <col min="2307" max="2310" width="17.6640625" style="66" customWidth="1"/>
    <col min="2311" max="2313" width="17.83203125" style="66" customWidth="1"/>
    <col min="2314" max="2314" width="0" style="66" hidden="1" customWidth="1"/>
    <col min="2315" max="2315" width="17.83203125" style="66" customWidth="1"/>
    <col min="2316" max="2316" width="22.83203125" style="66" customWidth="1"/>
    <col min="2317" max="2319" width="17.83203125" style="66" customWidth="1"/>
    <col min="2320" max="2320" width="15.6640625" style="66" customWidth="1"/>
    <col min="2321" max="2321" width="22.33203125" style="66" customWidth="1"/>
    <col min="2322" max="2324" width="17.83203125" style="66" customWidth="1"/>
    <col min="2325" max="2325" width="22.6640625" style="66" customWidth="1"/>
    <col min="2326" max="2326" width="20.33203125" style="66" customWidth="1"/>
    <col min="2327" max="2327" width="8.33203125" style="66" customWidth="1"/>
    <col min="2328" max="2328" width="28.5" style="66" bestFit="1" customWidth="1"/>
    <col min="2329" max="2559" width="11.5" style="66"/>
    <col min="2560" max="2560" width="4.6640625" style="66" customWidth="1"/>
    <col min="2561" max="2561" width="10.1640625" style="66" customWidth="1"/>
    <col min="2562" max="2562" width="51.1640625" style="66" customWidth="1"/>
    <col min="2563" max="2566" width="17.6640625" style="66" customWidth="1"/>
    <col min="2567" max="2569" width="17.83203125" style="66" customWidth="1"/>
    <col min="2570" max="2570" width="0" style="66" hidden="1" customWidth="1"/>
    <col min="2571" max="2571" width="17.83203125" style="66" customWidth="1"/>
    <col min="2572" max="2572" width="22.83203125" style="66" customWidth="1"/>
    <col min="2573" max="2575" width="17.83203125" style="66" customWidth="1"/>
    <col min="2576" max="2576" width="15.6640625" style="66" customWidth="1"/>
    <col min="2577" max="2577" width="22.33203125" style="66" customWidth="1"/>
    <col min="2578" max="2580" width="17.83203125" style="66" customWidth="1"/>
    <col min="2581" max="2581" width="22.6640625" style="66" customWidth="1"/>
    <col min="2582" max="2582" width="20.33203125" style="66" customWidth="1"/>
    <col min="2583" max="2583" width="8.33203125" style="66" customWidth="1"/>
    <col min="2584" max="2584" width="28.5" style="66" bestFit="1" customWidth="1"/>
    <col min="2585" max="2815" width="11.5" style="66"/>
    <col min="2816" max="2816" width="4.6640625" style="66" customWidth="1"/>
    <col min="2817" max="2817" width="10.1640625" style="66" customWidth="1"/>
    <col min="2818" max="2818" width="51.1640625" style="66" customWidth="1"/>
    <col min="2819" max="2822" width="17.6640625" style="66" customWidth="1"/>
    <col min="2823" max="2825" width="17.83203125" style="66" customWidth="1"/>
    <col min="2826" max="2826" width="0" style="66" hidden="1" customWidth="1"/>
    <col min="2827" max="2827" width="17.83203125" style="66" customWidth="1"/>
    <col min="2828" max="2828" width="22.83203125" style="66" customWidth="1"/>
    <col min="2829" max="2831" width="17.83203125" style="66" customWidth="1"/>
    <col min="2832" max="2832" width="15.6640625" style="66" customWidth="1"/>
    <col min="2833" max="2833" width="22.33203125" style="66" customWidth="1"/>
    <col min="2834" max="2836" width="17.83203125" style="66" customWidth="1"/>
    <col min="2837" max="2837" width="22.6640625" style="66" customWidth="1"/>
    <col min="2838" max="2838" width="20.33203125" style="66" customWidth="1"/>
    <col min="2839" max="2839" width="8.33203125" style="66" customWidth="1"/>
    <col min="2840" max="2840" width="28.5" style="66" bestFit="1" customWidth="1"/>
    <col min="2841" max="3071" width="11.5" style="66"/>
    <col min="3072" max="3072" width="4.6640625" style="66" customWidth="1"/>
    <col min="3073" max="3073" width="10.1640625" style="66" customWidth="1"/>
    <col min="3074" max="3074" width="51.1640625" style="66" customWidth="1"/>
    <col min="3075" max="3078" width="17.6640625" style="66" customWidth="1"/>
    <col min="3079" max="3081" width="17.83203125" style="66" customWidth="1"/>
    <col min="3082" max="3082" width="0" style="66" hidden="1" customWidth="1"/>
    <col min="3083" max="3083" width="17.83203125" style="66" customWidth="1"/>
    <col min="3084" max="3084" width="22.83203125" style="66" customWidth="1"/>
    <col min="3085" max="3087" width="17.83203125" style="66" customWidth="1"/>
    <col min="3088" max="3088" width="15.6640625" style="66" customWidth="1"/>
    <col min="3089" max="3089" width="22.33203125" style="66" customWidth="1"/>
    <col min="3090" max="3092" width="17.83203125" style="66" customWidth="1"/>
    <col min="3093" max="3093" width="22.6640625" style="66" customWidth="1"/>
    <col min="3094" max="3094" width="20.33203125" style="66" customWidth="1"/>
    <col min="3095" max="3095" width="8.33203125" style="66" customWidth="1"/>
    <col min="3096" max="3096" width="28.5" style="66" bestFit="1" customWidth="1"/>
    <col min="3097" max="3327" width="11.5" style="66"/>
    <col min="3328" max="3328" width="4.6640625" style="66" customWidth="1"/>
    <col min="3329" max="3329" width="10.1640625" style="66" customWidth="1"/>
    <col min="3330" max="3330" width="51.1640625" style="66" customWidth="1"/>
    <col min="3331" max="3334" width="17.6640625" style="66" customWidth="1"/>
    <col min="3335" max="3337" width="17.83203125" style="66" customWidth="1"/>
    <col min="3338" max="3338" width="0" style="66" hidden="1" customWidth="1"/>
    <col min="3339" max="3339" width="17.83203125" style="66" customWidth="1"/>
    <col min="3340" max="3340" width="22.83203125" style="66" customWidth="1"/>
    <col min="3341" max="3343" width="17.83203125" style="66" customWidth="1"/>
    <col min="3344" max="3344" width="15.6640625" style="66" customWidth="1"/>
    <col min="3345" max="3345" width="22.33203125" style="66" customWidth="1"/>
    <col min="3346" max="3348" width="17.83203125" style="66" customWidth="1"/>
    <col min="3349" max="3349" width="22.6640625" style="66" customWidth="1"/>
    <col min="3350" max="3350" width="20.33203125" style="66" customWidth="1"/>
    <col min="3351" max="3351" width="8.33203125" style="66" customWidth="1"/>
    <col min="3352" max="3352" width="28.5" style="66" bestFit="1" customWidth="1"/>
    <col min="3353" max="3583" width="11.5" style="66"/>
    <col min="3584" max="3584" width="4.6640625" style="66" customWidth="1"/>
    <col min="3585" max="3585" width="10.1640625" style="66" customWidth="1"/>
    <col min="3586" max="3586" width="51.1640625" style="66" customWidth="1"/>
    <col min="3587" max="3590" width="17.6640625" style="66" customWidth="1"/>
    <col min="3591" max="3593" width="17.83203125" style="66" customWidth="1"/>
    <col min="3594" max="3594" width="0" style="66" hidden="1" customWidth="1"/>
    <col min="3595" max="3595" width="17.83203125" style="66" customWidth="1"/>
    <col min="3596" max="3596" width="22.83203125" style="66" customWidth="1"/>
    <col min="3597" max="3599" width="17.83203125" style="66" customWidth="1"/>
    <col min="3600" max="3600" width="15.6640625" style="66" customWidth="1"/>
    <col min="3601" max="3601" width="22.33203125" style="66" customWidth="1"/>
    <col min="3602" max="3604" width="17.83203125" style="66" customWidth="1"/>
    <col min="3605" max="3605" width="22.6640625" style="66" customWidth="1"/>
    <col min="3606" max="3606" width="20.33203125" style="66" customWidth="1"/>
    <col min="3607" max="3607" width="8.33203125" style="66" customWidth="1"/>
    <col min="3608" max="3608" width="28.5" style="66" bestFit="1" customWidth="1"/>
    <col min="3609" max="3839" width="11.5" style="66"/>
    <col min="3840" max="3840" width="4.6640625" style="66" customWidth="1"/>
    <col min="3841" max="3841" width="10.1640625" style="66" customWidth="1"/>
    <col min="3842" max="3842" width="51.1640625" style="66" customWidth="1"/>
    <col min="3843" max="3846" width="17.6640625" style="66" customWidth="1"/>
    <col min="3847" max="3849" width="17.83203125" style="66" customWidth="1"/>
    <col min="3850" max="3850" width="0" style="66" hidden="1" customWidth="1"/>
    <col min="3851" max="3851" width="17.83203125" style="66" customWidth="1"/>
    <col min="3852" max="3852" width="22.83203125" style="66" customWidth="1"/>
    <col min="3853" max="3855" width="17.83203125" style="66" customWidth="1"/>
    <col min="3856" max="3856" width="15.6640625" style="66" customWidth="1"/>
    <col min="3857" max="3857" width="22.33203125" style="66" customWidth="1"/>
    <col min="3858" max="3860" width="17.83203125" style="66" customWidth="1"/>
    <col min="3861" max="3861" width="22.6640625" style="66" customWidth="1"/>
    <col min="3862" max="3862" width="20.33203125" style="66" customWidth="1"/>
    <col min="3863" max="3863" width="8.33203125" style="66" customWidth="1"/>
    <col min="3864" max="3864" width="28.5" style="66" bestFit="1" customWidth="1"/>
    <col min="3865" max="4095" width="11.5" style="66"/>
    <col min="4096" max="4096" width="4.6640625" style="66" customWidth="1"/>
    <col min="4097" max="4097" width="10.1640625" style="66" customWidth="1"/>
    <col min="4098" max="4098" width="51.1640625" style="66" customWidth="1"/>
    <col min="4099" max="4102" width="17.6640625" style="66" customWidth="1"/>
    <col min="4103" max="4105" width="17.83203125" style="66" customWidth="1"/>
    <col min="4106" max="4106" width="0" style="66" hidden="1" customWidth="1"/>
    <col min="4107" max="4107" width="17.83203125" style="66" customWidth="1"/>
    <col min="4108" max="4108" width="22.83203125" style="66" customWidth="1"/>
    <col min="4109" max="4111" width="17.83203125" style="66" customWidth="1"/>
    <col min="4112" max="4112" width="15.6640625" style="66" customWidth="1"/>
    <col min="4113" max="4113" width="22.33203125" style="66" customWidth="1"/>
    <col min="4114" max="4116" width="17.83203125" style="66" customWidth="1"/>
    <col min="4117" max="4117" width="22.6640625" style="66" customWidth="1"/>
    <col min="4118" max="4118" width="20.33203125" style="66" customWidth="1"/>
    <col min="4119" max="4119" width="8.33203125" style="66" customWidth="1"/>
    <col min="4120" max="4120" width="28.5" style="66" bestFit="1" customWidth="1"/>
    <col min="4121" max="4351" width="11.5" style="66"/>
    <col min="4352" max="4352" width="4.6640625" style="66" customWidth="1"/>
    <col min="4353" max="4353" width="10.1640625" style="66" customWidth="1"/>
    <col min="4354" max="4354" width="51.1640625" style="66" customWidth="1"/>
    <col min="4355" max="4358" width="17.6640625" style="66" customWidth="1"/>
    <col min="4359" max="4361" width="17.83203125" style="66" customWidth="1"/>
    <col min="4362" max="4362" width="0" style="66" hidden="1" customWidth="1"/>
    <col min="4363" max="4363" width="17.83203125" style="66" customWidth="1"/>
    <col min="4364" max="4364" width="22.83203125" style="66" customWidth="1"/>
    <col min="4365" max="4367" width="17.83203125" style="66" customWidth="1"/>
    <col min="4368" max="4368" width="15.6640625" style="66" customWidth="1"/>
    <col min="4369" max="4369" width="22.33203125" style="66" customWidth="1"/>
    <col min="4370" max="4372" width="17.83203125" style="66" customWidth="1"/>
    <col min="4373" max="4373" width="22.6640625" style="66" customWidth="1"/>
    <col min="4374" max="4374" width="20.33203125" style="66" customWidth="1"/>
    <col min="4375" max="4375" width="8.33203125" style="66" customWidth="1"/>
    <col min="4376" max="4376" width="28.5" style="66" bestFit="1" customWidth="1"/>
    <col min="4377" max="4607" width="11.5" style="66"/>
    <col min="4608" max="4608" width="4.6640625" style="66" customWidth="1"/>
    <col min="4609" max="4609" width="10.1640625" style="66" customWidth="1"/>
    <col min="4610" max="4610" width="51.1640625" style="66" customWidth="1"/>
    <col min="4611" max="4614" width="17.6640625" style="66" customWidth="1"/>
    <col min="4615" max="4617" width="17.83203125" style="66" customWidth="1"/>
    <col min="4618" max="4618" width="0" style="66" hidden="1" customWidth="1"/>
    <col min="4619" max="4619" width="17.83203125" style="66" customWidth="1"/>
    <col min="4620" max="4620" width="22.83203125" style="66" customWidth="1"/>
    <col min="4621" max="4623" width="17.83203125" style="66" customWidth="1"/>
    <col min="4624" max="4624" width="15.6640625" style="66" customWidth="1"/>
    <col min="4625" max="4625" width="22.33203125" style="66" customWidth="1"/>
    <col min="4626" max="4628" width="17.83203125" style="66" customWidth="1"/>
    <col min="4629" max="4629" width="22.6640625" style="66" customWidth="1"/>
    <col min="4630" max="4630" width="20.33203125" style="66" customWidth="1"/>
    <col min="4631" max="4631" width="8.33203125" style="66" customWidth="1"/>
    <col min="4632" max="4632" width="28.5" style="66" bestFit="1" customWidth="1"/>
    <col min="4633" max="4863" width="11.5" style="66"/>
    <col min="4864" max="4864" width="4.6640625" style="66" customWidth="1"/>
    <col min="4865" max="4865" width="10.1640625" style="66" customWidth="1"/>
    <col min="4866" max="4866" width="51.1640625" style="66" customWidth="1"/>
    <col min="4867" max="4870" width="17.6640625" style="66" customWidth="1"/>
    <col min="4871" max="4873" width="17.83203125" style="66" customWidth="1"/>
    <col min="4874" max="4874" width="0" style="66" hidden="1" customWidth="1"/>
    <col min="4875" max="4875" width="17.83203125" style="66" customWidth="1"/>
    <col min="4876" max="4876" width="22.83203125" style="66" customWidth="1"/>
    <col min="4877" max="4879" width="17.83203125" style="66" customWidth="1"/>
    <col min="4880" max="4880" width="15.6640625" style="66" customWidth="1"/>
    <col min="4881" max="4881" width="22.33203125" style="66" customWidth="1"/>
    <col min="4882" max="4884" width="17.83203125" style="66" customWidth="1"/>
    <col min="4885" max="4885" width="22.6640625" style="66" customWidth="1"/>
    <col min="4886" max="4886" width="20.33203125" style="66" customWidth="1"/>
    <col min="4887" max="4887" width="8.33203125" style="66" customWidth="1"/>
    <col min="4888" max="4888" width="28.5" style="66" bestFit="1" customWidth="1"/>
    <col min="4889" max="5119" width="11.5" style="66"/>
    <col min="5120" max="5120" width="4.6640625" style="66" customWidth="1"/>
    <col min="5121" max="5121" width="10.1640625" style="66" customWidth="1"/>
    <col min="5122" max="5122" width="51.1640625" style="66" customWidth="1"/>
    <col min="5123" max="5126" width="17.6640625" style="66" customWidth="1"/>
    <col min="5127" max="5129" width="17.83203125" style="66" customWidth="1"/>
    <col min="5130" max="5130" width="0" style="66" hidden="1" customWidth="1"/>
    <col min="5131" max="5131" width="17.83203125" style="66" customWidth="1"/>
    <col min="5132" max="5132" width="22.83203125" style="66" customWidth="1"/>
    <col min="5133" max="5135" width="17.83203125" style="66" customWidth="1"/>
    <col min="5136" max="5136" width="15.6640625" style="66" customWidth="1"/>
    <col min="5137" max="5137" width="22.33203125" style="66" customWidth="1"/>
    <col min="5138" max="5140" width="17.83203125" style="66" customWidth="1"/>
    <col min="5141" max="5141" width="22.6640625" style="66" customWidth="1"/>
    <col min="5142" max="5142" width="20.33203125" style="66" customWidth="1"/>
    <col min="5143" max="5143" width="8.33203125" style="66" customWidth="1"/>
    <col min="5144" max="5144" width="28.5" style="66" bestFit="1" customWidth="1"/>
    <col min="5145" max="5375" width="11.5" style="66"/>
    <col min="5376" max="5376" width="4.6640625" style="66" customWidth="1"/>
    <col min="5377" max="5377" width="10.1640625" style="66" customWidth="1"/>
    <col min="5378" max="5378" width="51.1640625" style="66" customWidth="1"/>
    <col min="5379" max="5382" width="17.6640625" style="66" customWidth="1"/>
    <col min="5383" max="5385" width="17.83203125" style="66" customWidth="1"/>
    <col min="5386" max="5386" width="0" style="66" hidden="1" customWidth="1"/>
    <col min="5387" max="5387" width="17.83203125" style="66" customWidth="1"/>
    <col min="5388" max="5388" width="22.83203125" style="66" customWidth="1"/>
    <col min="5389" max="5391" width="17.83203125" style="66" customWidth="1"/>
    <col min="5392" max="5392" width="15.6640625" style="66" customWidth="1"/>
    <col min="5393" max="5393" width="22.33203125" style="66" customWidth="1"/>
    <col min="5394" max="5396" width="17.83203125" style="66" customWidth="1"/>
    <col min="5397" max="5397" width="22.6640625" style="66" customWidth="1"/>
    <col min="5398" max="5398" width="20.33203125" style="66" customWidth="1"/>
    <col min="5399" max="5399" width="8.33203125" style="66" customWidth="1"/>
    <col min="5400" max="5400" width="28.5" style="66" bestFit="1" customWidth="1"/>
    <col min="5401" max="5631" width="11.5" style="66"/>
    <col min="5632" max="5632" width="4.6640625" style="66" customWidth="1"/>
    <col min="5633" max="5633" width="10.1640625" style="66" customWidth="1"/>
    <col min="5634" max="5634" width="51.1640625" style="66" customWidth="1"/>
    <col min="5635" max="5638" width="17.6640625" style="66" customWidth="1"/>
    <col min="5639" max="5641" width="17.83203125" style="66" customWidth="1"/>
    <col min="5642" max="5642" width="0" style="66" hidden="1" customWidth="1"/>
    <col min="5643" max="5643" width="17.83203125" style="66" customWidth="1"/>
    <col min="5644" max="5644" width="22.83203125" style="66" customWidth="1"/>
    <col min="5645" max="5647" width="17.83203125" style="66" customWidth="1"/>
    <col min="5648" max="5648" width="15.6640625" style="66" customWidth="1"/>
    <col min="5649" max="5649" width="22.33203125" style="66" customWidth="1"/>
    <col min="5650" max="5652" width="17.83203125" style="66" customWidth="1"/>
    <col min="5653" max="5653" width="22.6640625" style="66" customWidth="1"/>
    <col min="5654" max="5654" width="20.33203125" style="66" customWidth="1"/>
    <col min="5655" max="5655" width="8.33203125" style="66" customWidth="1"/>
    <col min="5656" max="5656" width="28.5" style="66" bestFit="1" customWidth="1"/>
    <col min="5657" max="5887" width="11.5" style="66"/>
    <col min="5888" max="5888" width="4.6640625" style="66" customWidth="1"/>
    <col min="5889" max="5889" width="10.1640625" style="66" customWidth="1"/>
    <col min="5890" max="5890" width="51.1640625" style="66" customWidth="1"/>
    <col min="5891" max="5894" width="17.6640625" style="66" customWidth="1"/>
    <col min="5895" max="5897" width="17.83203125" style="66" customWidth="1"/>
    <col min="5898" max="5898" width="0" style="66" hidden="1" customWidth="1"/>
    <col min="5899" max="5899" width="17.83203125" style="66" customWidth="1"/>
    <col min="5900" max="5900" width="22.83203125" style="66" customWidth="1"/>
    <col min="5901" max="5903" width="17.83203125" style="66" customWidth="1"/>
    <col min="5904" max="5904" width="15.6640625" style="66" customWidth="1"/>
    <col min="5905" max="5905" width="22.33203125" style="66" customWidth="1"/>
    <col min="5906" max="5908" width="17.83203125" style="66" customWidth="1"/>
    <col min="5909" max="5909" width="22.6640625" style="66" customWidth="1"/>
    <col min="5910" max="5910" width="20.33203125" style="66" customWidth="1"/>
    <col min="5911" max="5911" width="8.33203125" style="66" customWidth="1"/>
    <col min="5912" max="5912" width="28.5" style="66" bestFit="1" customWidth="1"/>
    <col min="5913" max="6143" width="11.5" style="66"/>
    <col min="6144" max="6144" width="4.6640625" style="66" customWidth="1"/>
    <col min="6145" max="6145" width="10.1640625" style="66" customWidth="1"/>
    <col min="6146" max="6146" width="51.1640625" style="66" customWidth="1"/>
    <col min="6147" max="6150" width="17.6640625" style="66" customWidth="1"/>
    <col min="6151" max="6153" width="17.83203125" style="66" customWidth="1"/>
    <col min="6154" max="6154" width="0" style="66" hidden="1" customWidth="1"/>
    <col min="6155" max="6155" width="17.83203125" style="66" customWidth="1"/>
    <col min="6156" max="6156" width="22.83203125" style="66" customWidth="1"/>
    <col min="6157" max="6159" width="17.83203125" style="66" customWidth="1"/>
    <col min="6160" max="6160" width="15.6640625" style="66" customWidth="1"/>
    <col min="6161" max="6161" width="22.33203125" style="66" customWidth="1"/>
    <col min="6162" max="6164" width="17.83203125" style="66" customWidth="1"/>
    <col min="6165" max="6165" width="22.6640625" style="66" customWidth="1"/>
    <col min="6166" max="6166" width="20.33203125" style="66" customWidth="1"/>
    <col min="6167" max="6167" width="8.33203125" style="66" customWidth="1"/>
    <col min="6168" max="6168" width="28.5" style="66" bestFit="1" customWidth="1"/>
    <col min="6169" max="6399" width="11.5" style="66"/>
    <col min="6400" max="6400" width="4.6640625" style="66" customWidth="1"/>
    <col min="6401" max="6401" width="10.1640625" style="66" customWidth="1"/>
    <col min="6402" max="6402" width="51.1640625" style="66" customWidth="1"/>
    <col min="6403" max="6406" width="17.6640625" style="66" customWidth="1"/>
    <col min="6407" max="6409" width="17.83203125" style="66" customWidth="1"/>
    <col min="6410" max="6410" width="0" style="66" hidden="1" customWidth="1"/>
    <col min="6411" max="6411" width="17.83203125" style="66" customWidth="1"/>
    <col min="6412" max="6412" width="22.83203125" style="66" customWidth="1"/>
    <col min="6413" max="6415" width="17.83203125" style="66" customWidth="1"/>
    <col min="6416" max="6416" width="15.6640625" style="66" customWidth="1"/>
    <col min="6417" max="6417" width="22.33203125" style="66" customWidth="1"/>
    <col min="6418" max="6420" width="17.83203125" style="66" customWidth="1"/>
    <col min="6421" max="6421" width="22.6640625" style="66" customWidth="1"/>
    <col min="6422" max="6422" width="20.33203125" style="66" customWidth="1"/>
    <col min="6423" max="6423" width="8.33203125" style="66" customWidth="1"/>
    <col min="6424" max="6424" width="28.5" style="66" bestFit="1" customWidth="1"/>
    <col min="6425" max="6655" width="11.5" style="66"/>
    <col min="6656" max="6656" width="4.6640625" style="66" customWidth="1"/>
    <col min="6657" max="6657" width="10.1640625" style="66" customWidth="1"/>
    <col min="6658" max="6658" width="51.1640625" style="66" customWidth="1"/>
    <col min="6659" max="6662" width="17.6640625" style="66" customWidth="1"/>
    <col min="6663" max="6665" width="17.83203125" style="66" customWidth="1"/>
    <col min="6666" max="6666" width="0" style="66" hidden="1" customWidth="1"/>
    <col min="6667" max="6667" width="17.83203125" style="66" customWidth="1"/>
    <col min="6668" max="6668" width="22.83203125" style="66" customWidth="1"/>
    <col min="6669" max="6671" width="17.83203125" style="66" customWidth="1"/>
    <col min="6672" max="6672" width="15.6640625" style="66" customWidth="1"/>
    <col min="6673" max="6673" width="22.33203125" style="66" customWidth="1"/>
    <col min="6674" max="6676" width="17.83203125" style="66" customWidth="1"/>
    <col min="6677" max="6677" width="22.6640625" style="66" customWidth="1"/>
    <col min="6678" max="6678" width="20.33203125" style="66" customWidth="1"/>
    <col min="6679" max="6679" width="8.33203125" style="66" customWidth="1"/>
    <col min="6680" max="6680" width="28.5" style="66" bestFit="1" customWidth="1"/>
    <col min="6681" max="6911" width="11.5" style="66"/>
    <col min="6912" max="6912" width="4.6640625" style="66" customWidth="1"/>
    <col min="6913" max="6913" width="10.1640625" style="66" customWidth="1"/>
    <col min="6914" max="6914" width="51.1640625" style="66" customWidth="1"/>
    <col min="6915" max="6918" width="17.6640625" style="66" customWidth="1"/>
    <col min="6919" max="6921" width="17.83203125" style="66" customWidth="1"/>
    <col min="6922" max="6922" width="0" style="66" hidden="1" customWidth="1"/>
    <col min="6923" max="6923" width="17.83203125" style="66" customWidth="1"/>
    <col min="6924" max="6924" width="22.83203125" style="66" customWidth="1"/>
    <col min="6925" max="6927" width="17.83203125" style="66" customWidth="1"/>
    <col min="6928" max="6928" width="15.6640625" style="66" customWidth="1"/>
    <col min="6929" max="6929" width="22.33203125" style="66" customWidth="1"/>
    <col min="6930" max="6932" width="17.83203125" style="66" customWidth="1"/>
    <col min="6933" max="6933" width="22.6640625" style="66" customWidth="1"/>
    <col min="6934" max="6934" width="20.33203125" style="66" customWidth="1"/>
    <col min="6935" max="6935" width="8.33203125" style="66" customWidth="1"/>
    <col min="6936" max="6936" width="28.5" style="66" bestFit="1" customWidth="1"/>
    <col min="6937" max="7167" width="11.5" style="66"/>
    <col min="7168" max="7168" width="4.6640625" style="66" customWidth="1"/>
    <col min="7169" max="7169" width="10.1640625" style="66" customWidth="1"/>
    <col min="7170" max="7170" width="51.1640625" style="66" customWidth="1"/>
    <col min="7171" max="7174" width="17.6640625" style="66" customWidth="1"/>
    <col min="7175" max="7177" width="17.83203125" style="66" customWidth="1"/>
    <col min="7178" max="7178" width="0" style="66" hidden="1" customWidth="1"/>
    <col min="7179" max="7179" width="17.83203125" style="66" customWidth="1"/>
    <col min="7180" max="7180" width="22.83203125" style="66" customWidth="1"/>
    <col min="7181" max="7183" width="17.83203125" style="66" customWidth="1"/>
    <col min="7184" max="7184" width="15.6640625" style="66" customWidth="1"/>
    <col min="7185" max="7185" width="22.33203125" style="66" customWidth="1"/>
    <col min="7186" max="7188" width="17.83203125" style="66" customWidth="1"/>
    <col min="7189" max="7189" width="22.6640625" style="66" customWidth="1"/>
    <col min="7190" max="7190" width="20.33203125" style="66" customWidth="1"/>
    <col min="7191" max="7191" width="8.33203125" style="66" customWidth="1"/>
    <col min="7192" max="7192" width="28.5" style="66" bestFit="1" customWidth="1"/>
    <col min="7193" max="7423" width="11.5" style="66"/>
    <col min="7424" max="7424" width="4.6640625" style="66" customWidth="1"/>
    <col min="7425" max="7425" width="10.1640625" style="66" customWidth="1"/>
    <col min="7426" max="7426" width="51.1640625" style="66" customWidth="1"/>
    <col min="7427" max="7430" width="17.6640625" style="66" customWidth="1"/>
    <col min="7431" max="7433" width="17.83203125" style="66" customWidth="1"/>
    <col min="7434" max="7434" width="0" style="66" hidden="1" customWidth="1"/>
    <col min="7435" max="7435" width="17.83203125" style="66" customWidth="1"/>
    <col min="7436" max="7436" width="22.83203125" style="66" customWidth="1"/>
    <col min="7437" max="7439" width="17.83203125" style="66" customWidth="1"/>
    <col min="7440" max="7440" width="15.6640625" style="66" customWidth="1"/>
    <col min="7441" max="7441" width="22.33203125" style="66" customWidth="1"/>
    <col min="7442" max="7444" width="17.83203125" style="66" customWidth="1"/>
    <col min="7445" max="7445" width="22.6640625" style="66" customWidth="1"/>
    <col min="7446" max="7446" width="20.33203125" style="66" customWidth="1"/>
    <col min="7447" max="7447" width="8.33203125" style="66" customWidth="1"/>
    <col min="7448" max="7448" width="28.5" style="66" bestFit="1" customWidth="1"/>
    <col min="7449" max="7679" width="11.5" style="66"/>
    <col min="7680" max="7680" width="4.6640625" style="66" customWidth="1"/>
    <col min="7681" max="7681" width="10.1640625" style="66" customWidth="1"/>
    <col min="7682" max="7682" width="51.1640625" style="66" customWidth="1"/>
    <col min="7683" max="7686" width="17.6640625" style="66" customWidth="1"/>
    <col min="7687" max="7689" width="17.83203125" style="66" customWidth="1"/>
    <col min="7690" max="7690" width="0" style="66" hidden="1" customWidth="1"/>
    <col min="7691" max="7691" width="17.83203125" style="66" customWidth="1"/>
    <col min="7692" max="7692" width="22.83203125" style="66" customWidth="1"/>
    <col min="7693" max="7695" width="17.83203125" style="66" customWidth="1"/>
    <col min="7696" max="7696" width="15.6640625" style="66" customWidth="1"/>
    <col min="7697" max="7697" width="22.33203125" style="66" customWidth="1"/>
    <col min="7698" max="7700" width="17.83203125" style="66" customWidth="1"/>
    <col min="7701" max="7701" width="22.6640625" style="66" customWidth="1"/>
    <col min="7702" max="7702" width="20.33203125" style="66" customWidth="1"/>
    <col min="7703" max="7703" width="8.33203125" style="66" customWidth="1"/>
    <col min="7704" max="7704" width="28.5" style="66" bestFit="1" customWidth="1"/>
    <col min="7705" max="7935" width="11.5" style="66"/>
    <col min="7936" max="7936" width="4.6640625" style="66" customWidth="1"/>
    <col min="7937" max="7937" width="10.1640625" style="66" customWidth="1"/>
    <col min="7938" max="7938" width="51.1640625" style="66" customWidth="1"/>
    <col min="7939" max="7942" width="17.6640625" style="66" customWidth="1"/>
    <col min="7943" max="7945" width="17.83203125" style="66" customWidth="1"/>
    <col min="7946" max="7946" width="0" style="66" hidden="1" customWidth="1"/>
    <col min="7947" max="7947" width="17.83203125" style="66" customWidth="1"/>
    <col min="7948" max="7948" width="22.83203125" style="66" customWidth="1"/>
    <col min="7949" max="7951" width="17.83203125" style="66" customWidth="1"/>
    <col min="7952" max="7952" width="15.6640625" style="66" customWidth="1"/>
    <col min="7953" max="7953" width="22.33203125" style="66" customWidth="1"/>
    <col min="7954" max="7956" width="17.83203125" style="66" customWidth="1"/>
    <col min="7957" max="7957" width="22.6640625" style="66" customWidth="1"/>
    <col min="7958" max="7958" width="20.33203125" style="66" customWidth="1"/>
    <col min="7959" max="7959" width="8.33203125" style="66" customWidth="1"/>
    <col min="7960" max="7960" width="28.5" style="66" bestFit="1" customWidth="1"/>
    <col min="7961" max="8191" width="11.5" style="66"/>
    <col min="8192" max="8192" width="4.6640625" style="66" customWidth="1"/>
    <col min="8193" max="8193" width="10.1640625" style="66" customWidth="1"/>
    <col min="8194" max="8194" width="51.1640625" style="66" customWidth="1"/>
    <col min="8195" max="8198" width="17.6640625" style="66" customWidth="1"/>
    <col min="8199" max="8201" width="17.83203125" style="66" customWidth="1"/>
    <col min="8202" max="8202" width="0" style="66" hidden="1" customWidth="1"/>
    <col min="8203" max="8203" width="17.83203125" style="66" customWidth="1"/>
    <col min="8204" max="8204" width="22.83203125" style="66" customWidth="1"/>
    <col min="8205" max="8207" width="17.83203125" style="66" customWidth="1"/>
    <col min="8208" max="8208" width="15.6640625" style="66" customWidth="1"/>
    <col min="8209" max="8209" width="22.33203125" style="66" customWidth="1"/>
    <col min="8210" max="8212" width="17.83203125" style="66" customWidth="1"/>
    <col min="8213" max="8213" width="22.6640625" style="66" customWidth="1"/>
    <col min="8214" max="8214" width="20.33203125" style="66" customWidth="1"/>
    <col min="8215" max="8215" width="8.33203125" style="66" customWidth="1"/>
    <col min="8216" max="8216" width="28.5" style="66" bestFit="1" customWidth="1"/>
    <col min="8217" max="8447" width="11.5" style="66"/>
    <col min="8448" max="8448" width="4.6640625" style="66" customWidth="1"/>
    <col min="8449" max="8449" width="10.1640625" style="66" customWidth="1"/>
    <col min="8450" max="8450" width="51.1640625" style="66" customWidth="1"/>
    <col min="8451" max="8454" width="17.6640625" style="66" customWidth="1"/>
    <col min="8455" max="8457" width="17.83203125" style="66" customWidth="1"/>
    <col min="8458" max="8458" width="0" style="66" hidden="1" customWidth="1"/>
    <col min="8459" max="8459" width="17.83203125" style="66" customWidth="1"/>
    <col min="8460" max="8460" width="22.83203125" style="66" customWidth="1"/>
    <col min="8461" max="8463" width="17.83203125" style="66" customWidth="1"/>
    <col min="8464" max="8464" width="15.6640625" style="66" customWidth="1"/>
    <col min="8465" max="8465" width="22.33203125" style="66" customWidth="1"/>
    <col min="8466" max="8468" width="17.83203125" style="66" customWidth="1"/>
    <col min="8469" max="8469" width="22.6640625" style="66" customWidth="1"/>
    <col min="8470" max="8470" width="20.33203125" style="66" customWidth="1"/>
    <col min="8471" max="8471" width="8.33203125" style="66" customWidth="1"/>
    <col min="8472" max="8472" width="28.5" style="66" bestFit="1" customWidth="1"/>
    <col min="8473" max="8703" width="11.5" style="66"/>
    <col min="8704" max="8704" width="4.6640625" style="66" customWidth="1"/>
    <col min="8705" max="8705" width="10.1640625" style="66" customWidth="1"/>
    <col min="8706" max="8706" width="51.1640625" style="66" customWidth="1"/>
    <col min="8707" max="8710" width="17.6640625" style="66" customWidth="1"/>
    <col min="8711" max="8713" width="17.83203125" style="66" customWidth="1"/>
    <col min="8714" max="8714" width="0" style="66" hidden="1" customWidth="1"/>
    <col min="8715" max="8715" width="17.83203125" style="66" customWidth="1"/>
    <col min="8716" max="8716" width="22.83203125" style="66" customWidth="1"/>
    <col min="8717" max="8719" width="17.83203125" style="66" customWidth="1"/>
    <col min="8720" max="8720" width="15.6640625" style="66" customWidth="1"/>
    <col min="8721" max="8721" width="22.33203125" style="66" customWidth="1"/>
    <col min="8722" max="8724" width="17.83203125" style="66" customWidth="1"/>
    <col min="8725" max="8725" width="22.6640625" style="66" customWidth="1"/>
    <col min="8726" max="8726" width="20.33203125" style="66" customWidth="1"/>
    <col min="8727" max="8727" width="8.33203125" style="66" customWidth="1"/>
    <col min="8728" max="8728" width="28.5" style="66" bestFit="1" customWidth="1"/>
    <col min="8729" max="8959" width="11.5" style="66"/>
    <col min="8960" max="8960" width="4.6640625" style="66" customWidth="1"/>
    <col min="8961" max="8961" width="10.1640625" style="66" customWidth="1"/>
    <col min="8962" max="8962" width="51.1640625" style="66" customWidth="1"/>
    <col min="8963" max="8966" width="17.6640625" style="66" customWidth="1"/>
    <col min="8967" max="8969" width="17.83203125" style="66" customWidth="1"/>
    <col min="8970" max="8970" width="0" style="66" hidden="1" customWidth="1"/>
    <col min="8971" max="8971" width="17.83203125" style="66" customWidth="1"/>
    <col min="8972" max="8972" width="22.83203125" style="66" customWidth="1"/>
    <col min="8973" max="8975" width="17.83203125" style="66" customWidth="1"/>
    <col min="8976" max="8976" width="15.6640625" style="66" customWidth="1"/>
    <col min="8977" max="8977" width="22.33203125" style="66" customWidth="1"/>
    <col min="8978" max="8980" width="17.83203125" style="66" customWidth="1"/>
    <col min="8981" max="8981" width="22.6640625" style="66" customWidth="1"/>
    <col min="8982" max="8982" width="20.33203125" style="66" customWidth="1"/>
    <col min="8983" max="8983" width="8.33203125" style="66" customWidth="1"/>
    <col min="8984" max="8984" width="28.5" style="66" bestFit="1" customWidth="1"/>
    <col min="8985" max="9215" width="11.5" style="66"/>
    <col min="9216" max="9216" width="4.6640625" style="66" customWidth="1"/>
    <col min="9217" max="9217" width="10.1640625" style="66" customWidth="1"/>
    <col min="9218" max="9218" width="51.1640625" style="66" customWidth="1"/>
    <col min="9219" max="9222" width="17.6640625" style="66" customWidth="1"/>
    <col min="9223" max="9225" width="17.83203125" style="66" customWidth="1"/>
    <col min="9226" max="9226" width="0" style="66" hidden="1" customWidth="1"/>
    <col min="9227" max="9227" width="17.83203125" style="66" customWidth="1"/>
    <col min="9228" max="9228" width="22.83203125" style="66" customWidth="1"/>
    <col min="9229" max="9231" width="17.83203125" style="66" customWidth="1"/>
    <col min="9232" max="9232" width="15.6640625" style="66" customWidth="1"/>
    <col min="9233" max="9233" width="22.33203125" style="66" customWidth="1"/>
    <col min="9234" max="9236" width="17.83203125" style="66" customWidth="1"/>
    <col min="9237" max="9237" width="22.6640625" style="66" customWidth="1"/>
    <col min="9238" max="9238" width="20.33203125" style="66" customWidth="1"/>
    <col min="9239" max="9239" width="8.33203125" style="66" customWidth="1"/>
    <col min="9240" max="9240" width="28.5" style="66" bestFit="1" customWidth="1"/>
    <col min="9241" max="9471" width="11.5" style="66"/>
    <col min="9472" max="9472" width="4.6640625" style="66" customWidth="1"/>
    <col min="9473" max="9473" width="10.1640625" style="66" customWidth="1"/>
    <col min="9474" max="9474" width="51.1640625" style="66" customWidth="1"/>
    <col min="9475" max="9478" width="17.6640625" style="66" customWidth="1"/>
    <col min="9479" max="9481" width="17.83203125" style="66" customWidth="1"/>
    <col min="9482" max="9482" width="0" style="66" hidden="1" customWidth="1"/>
    <col min="9483" max="9483" width="17.83203125" style="66" customWidth="1"/>
    <col min="9484" max="9484" width="22.83203125" style="66" customWidth="1"/>
    <col min="9485" max="9487" width="17.83203125" style="66" customWidth="1"/>
    <col min="9488" max="9488" width="15.6640625" style="66" customWidth="1"/>
    <col min="9489" max="9489" width="22.33203125" style="66" customWidth="1"/>
    <col min="9490" max="9492" width="17.83203125" style="66" customWidth="1"/>
    <col min="9493" max="9493" width="22.6640625" style="66" customWidth="1"/>
    <col min="9494" max="9494" width="20.33203125" style="66" customWidth="1"/>
    <col min="9495" max="9495" width="8.33203125" style="66" customWidth="1"/>
    <col min="9496" max="9496" width="28.5" style="66" bestFit="1" customWidth="1"/>
    <col min="9497" max="9727" width="11.5" style="66"/>
    <col min="9728" max="9728" width="4.6640625" style="66" customWidth="1"/>
    <col min="9729" max="9729" width="10.1640625" style="66" customWidth="1"/>
    <col min="9730" max="9730" width="51.1640625" style="66" customWidth="1"/>
    <col min="9731" max="9734" width="17.6640625" style="66" customWidth="1"/>
    <col min="9735" max="9737" width="17.83203125" style="66" customWidth="1"/>
    <col min="9738" max="9738" width="0" style="66" hidden="1" customWidth="1"/>
    <col min="9739" max="9739" width="17.83203125" style="66" customWidth="1"/>
    <col min="9740" max="9740" width="22.83203125" style="66" customWidth="1"/>
    <col min="9741" max="9743" width="17.83203125" style="66" customWidth="1"/>
    <col min="9744" max="9744" width="15.6640625" style="66" customWidth="1"/>
    <col min="9745" max="9745" width="22.33203125" style="66" customWidth="1"/>
    <col min="9746" max="9748" width="17.83203125" style="66" customWidth="1"/>
    <col min="9749" max="9749" width="22.6640625" style="66" customWidth="1"/>
    <col min="9750" max="9750" width="20.33203125" style="66" customWidth="1"/>
    <col min="9751" max="9751" width="8.33203125" style="66" customWidth="1"/>
    <col min="9752" max="9752" width="28.5" style="66" bestFit="1" customWidth="1"/>
    <col min="9753" max="9983" width="11.5" style="66"/>
    <col min="9984" max="9984" width="4.6640625" style="66" customWidth="1"/>
    <col min="9985" max="9985" width="10.1640625" style="66" customWidth="1"/>
    <col min="9986" max="9986" width="51.1640625" style="66" customWidth="1"/>
    <col min="9987" max="9990" width="17.6640625" style="66" customWidth="1"/>
    <col min="9991" max="9993" width="17.83203125" style="66" customWidth="1"/>
    <col min="9994" max="9994" width="0" style="66" hidden="1" customWidth="1"/>
    <col min="9995" max="9995" width="17.83203125" style="66" customWidth="1"/>
    <col min="9996" max="9996" width="22.83203125" style="66" customWidth="1"/>
    <col min="9997" max="9999" width="17.83203125" style="66" customWidth="1"/>
    <col min="10000" max="10000" width="15.6640625" style="66" customWidth="1"/>
    <col min="10001" max="10001" width="22.33203125" style="66" customWidth="1"/>
    <col min="10002" max="10004" width="17.83203125" style="66" customWidth="1"/>
    <col min="10005" max="10005" width="22.6640625" style="66" customWidth="1"/>
    <col min="10006" max="10006" width="20.33203125" style="66" customWidth="1"/>
    <col min="10007" max="10007" width="8.33203125" style="66" customWidth="1"/>
    <col min="10008" max="10008" width="28.5" style="66" bestFit="1" customWidth="1"/>
    <col min="10009" max="10239" width="11.5" style="66"/>
    <col min="10240" max="10240" width="4.6640625" style="66" customWidth="1"/>
    <col min="10241" max="10241" width="10.1640625" style="66" customWidth="1"/>
    <col min="10242" max="10242" width="51.1640625" style="66" customWidth="1"/>
    <col min="10243" max="10246" width="17.6640625" style="66" customWidth="1"/>
    <col min="10247" max="10249" width="17.83203125" style="66" customWidth="1"/>
    <col min="10250" max="10250" width="0" style="66" hidden="1" customWidth="1"/>
    <col min="10251" max="10251" width="17.83203125" style="66" customWidth="1"/>
    <col min="10252" max="10252" width="22.83203125" style="66" customWidth="1"/>
    <col min="10253" max="10255" width="17.83203125" style="66" customWidth="1"/>
    <col min="10256" max="10256" width="15.6640625" style="66" customWidth="1"/>
    <col min="10257" max="10257" width="22.33203125" style="66" customWidth="1"/>
    <col min="10258" max="10260" width="17.83203125" style="66" customWidth="1"/>
    <col min="10261" max="10261" width="22.6640625" style="66" customWidth="1"/>
    <col min="10262" max="10262" width="20.33203125" style="66" customWidth="1"/>
    <col min="10263" max="10263" width="8.33203125" style="66" customWidth="1"/>
    <col min="10264" max="10264" width="28.5" style="66" bestFit="1" customWidth="1"/>
    <col min="10265" max="10495" width="11.5" style="66"/>
    <col min="10496" max="10496" width="4.6640625" style="66" customWidth="1"/>
    <col min="10497" max="10497" width="10.1640625" style="66" customWidth="1"/>
    <col min="10498" max="10498" width="51.1640625" style="66" customWidth="1"/>
    <col min="10499" max="10502" width="17.6640625" style="66" customWidth="1"/>
    <col min="10503" max="10505" width="17.83203125" style="66" customWidth="1"/>
    <col min="10506" max="10506" width="0" style="66" hidden="1" customWidth="1"/>
    <col min="10507" max="10507" width="17.83203125" style="66" customWidth="1"/>
    <col min="10508" max="10508" width="22.83203125" style="66" customWidth="1"/>
    <col min="10509" max="10511" width="17.83203125" style="66" customWidth="1"/>
    <col min="10512" max="10512" width="15.6640625" style="66" customWidth="1"/>
    <col min="10513" max="10513" width="22.33203125" style="66" customWidth="1"/>
    <col min="10514" max="10516" width="17.83203125" style="66" customWidth="1"/>
    <col min="10517" max="10517" width="22.6640625" style="66" customWidth="1"/>
    <col min="10518" max="10518" width="20.33203125" style="66" customWidth="1"/>
    <col min="10519" max="10519" width="8.33203125" style="66" customWidth="1"/>
    <col min="10520" max="10520" width="28.5" style="66" bestFit="1" customWidth="1"/>
    <col min="10521" max="10751" width="11.5" style="66"/>
    <col min="10752" max="10752" width="4.6640625" style="66" customWidth="1"/>
    <col min="10753" max="10753" width="10.1640625" style="66" customWidth="1"/>
    <col min="10754" max="10754" width="51.1640625" style="66" customWidth="1"/>
    <col min="10755" max="10758" width="17.6640625" style="66" customWidth="1"/>
    <col min="10759" max="10761" width="17.83203125" style="66" customWidth="1"/>
    <col min="10762" max="10762" width="0" style="66" hidden="1" customWidth="1"/>
    <col min="10763" max="10763" width="17.83203125" style="66" customWidth="1"/>
    <col min="10764" max="10764" width="22.83203125" style="66" customWidth="1"/>
    <col min="10765" max="10767" width="17.83203125" style="66" customWidth="1"/>
    <col min="10768" max="10768" width="15.6640625" style="66" customWidth="1"/>
    <col min="10769" max="10769" width="22.33203125" style="66" customWidth="1"/>
    <col min="10770" max="10772" width="17.83203125" style="66" customWidth="1"/>
    <col min="10773" max="10773" width="22.6640625" style="66" customWidth="1"/>
    <col min="10774" max="10774" width="20.33203125" style="66" customWidth="1"/>
    <col min="10775" max="10775" width="8.33203125" style="66" customWidth="1"/>
    <col min="10776" max="10776" width="28.5" style="66" bestFit="1" customWidth="1"/>
    <col min="10777" max="11007" width="11.5" style="66"/>
    <col min="11008" max="11008" width="4.6640625" style="66" customWidth="1"/>
    <col min="11009" max="11009" width="10.1640625" style="66" customWidth="1"/>
    <col min="11010" max="11010" width="51.1640625" style="66" customWidth="1"/>
    <col min="11011" max="11014" width="17.6640625" style="66" customWidth="1"/>
    <col min="11015" max="11017" width="17.83203125" style="66" customWidth="1"/>
    <col min="11018" max="11018" width="0" style="66" hidden="1" customWidth="1"/>
    <col min="11019" max="11019" width="17.83203125" style="66" customWidth="1"/>
    <col min="11020" max="11020" width="22.83203125" style="66" customWidth="1"/>
    <col min="11021" max="11023" width="17.83203125" style="66" customWidth="1"/>
    <col min="11024" max="11024" width="15.6640625" style="66" customWidth="1"/>
    <col min="11025" max="11025" width="22.33203125" style="66" customWidth="1"/>
    <col min="11026" max="11028" width="17.83203125" style="66" customWidth="1"/>
    <col min="11029" max="11029" width="22.6640625" style="66" customWidth="1"/>
    <col min="11030" max="11030" width="20.33203125" style="66" customWidth="1"/>
    <col min="11031" max="11031" width="8.33203125" style="66" customWidth="1"/>
    <col min="11032" max="11032" width="28.5" style="66" bestFit="1" customWidth="1"/>
    <col min="11033" max="11263" width="11.5" style="66"/>
    <col min="11264" max="11264" width="4.6640625" style="66" customWidth="1"/>
    <col min="11265" max="11265" width="10.1640625" style="66" customWidth="1"/>
    <col min="11266" max="11266" width="51.1640625" style="66" customWidth="1"/>
    <col min="11267" max="11270" width="17.6640625" style="66" customWidth="1"/>
    <col min="11271" max="11273" width="17.83203125" style="66" customWidth="1"/>
    <col min="11274" max="11274" width="0" style="66" hidden="1" customWidth="1"/>
    <col min="11275" max="11275" width="17.83203125" style="66" customWidth="1"/>
    <col min="11276" max="11276" width="22.83203125" style="66" customWidth="1"/>
    <col min="11277" max="11279" width="17.83203125" style="66" customWidth="1"/>
    <col min="11280" max="11280" width="15.6640625" style="66" customWidth="1"/>
    <col min="11281" max="11281" width="22.33203125" style="66" customWidth="1"/>
    <col min="11282" max="11284" width="17.83203125" style="66" customWidth="1"/>
    <col min="11285" max="11285" width="22.6640625" style="66" customWidth="1"/>
    <col min="11286" max="11286" width="20.33203125" style="66" customWidth="1"/>
    <col min="11287" max="11287" width="8.33203125" style="66" customWidth="1"/>
    <col min="11288" max="11288" width="28.5" style="66" bestFit="1" customWidth="1"/>
    <col min="11289" max="11519" width="11.5" style="66"/>
    <col min="11520" max="11520" width="4.6640625" style="66" customWidth="1"/>
    <col min="11521" max="11521" width="10.1640625" style="66" customWidth="1"/>
    <col min="11522" max="11522" width="51.1640625" style="66" customWidth="1"/>
    <col min="11523" max="11526" width="17.6640625" style="66" customWidth="1"/>
    <col min="11527" max="11529" width="17.83203125" style="66" customWidth="1"/>
    <col min="11530" max="11530" width="0" style="66" hidden="1" customWidth="1"/>
    <col min="11531" max="11531" width="17.83203125" style="66" customWidth="1"/>
    <col min="11532" max="11532" width="22.83203125" style="66" customWidth="1"/>
    <col min="11533" max="11535" width="17.83203125" style="66" customWidth="1"/>
    <col min="11536" max="11536" width="15.6640625" style="66" customWidth="1"/>
    <col min="11537" max="11537" width="22.33203125" style="66" customWidth="1"/>
    <col min="11538" max="11540" width="17.83203125" style="66" customWidth="1"/>
    <col min="11541" max="11541" width="22.6640625" style="66" customWidth="1"/>
    <col min="11542" max="11542" width="20.33203125" style="66" customWidth="1"/>
    <col min="11543" max="11543" width="8.33203125" style="66" customWidth="1"/>
    <col min="11544" max="11544" width="28.5" style="66" bestFit="1" customWidth="1"/>
    <col min="11545" max="11775" width="11.5" style="66"/>
    <col min="11776" max="11776" width="4.6640625" style="66" customWidth="1"/>
    <col min="11777" max="11777" width="10.1640625" style="66" customWidth="1"/>
    <col min="11778" max="11778" width="51.1640625" style="66" customWidth="1"/>
    <col min="11779" max="11782" width="17.6640625" style="66" customWidth="1"/>
    <col min="11783" max="11785" width="17.83203125" style="66" customWidth="1"/>
    <col min="11786" max="11786" width="0" style="66" hidden="1" customWidth="1"/>
    <col min="11787" max="11787" width="17.83203125" style="66" customWidth="1"/>
    <col min="11788" max="11788" width="22.83203125" style="66" customWidth="1"/>
    <col min="11789" max="11791" width="17.83203125" style="66" customWidth="1"/>
    <col min="11792" max="11792" width="15.6640625" style="66" customWidth="1"/>
    <col min="11793" max="11793" width="22.33203125" style="66" customWidth="1"/>
    <col min="11794" max="11796" width="17.83203125" style="66" customWidth="1"/>
    <col min="11797" max="11797" width="22.6640625" style="66" customWidth="1"/>
    <col min="11798" max="11798" width="20.33203125" style="66" customWidth="1"/>
    <col min="11799" max="11799" width="8.33203125" style="66" customWidth="1"/>
    <col min="11800" max="11800" width="28.5" style="66" bestFit="1" customWidth="1"/>
    <col min="11801" max="12031" width="11.5" style="66"/>
    <col min="12032" max="12032" width="4.6640625" style="66" customWidth="1"/>
    <col min="12033" max="12033" width="10.1640625" style="66" customWidth="1"/>
    <col min="12034" max="12034" width="51.1640625" style="66" customWidth="1"/>
    <col min="12035" max="12038" width="17.6640625" style="66" customWidth="1"/>
    <col min="12039" max="12041" width="17.83203125" style="66" customWidth="1"/>
    <col min="12042" max="12042" width="0" style="66" hidden="1" customWidth="1"/>
    <col min="12043" max="12043" width="17.83203125" style="66" customWidth="1"/>
    <col min="12044" max="12044" width="22.83203125" style="66" customWidth="1"/>
    <col min="12045" max="12047" width="17.83203125" style="66" customWidth="1"/>
    <col min="12048" max="12048" width="15.6640625" style="66" customWidth="1"/>
    <col min="12049" max="12049" width="22.33203125" style="66" customWidth="1"/>
    <col min="12050" max="12052" width="17.83203125" style="66" customWidth="1"/>
    <col min="12053" max="12053" width="22.6640625" style="66" customWidth="1"/>
    <col min="12054" max="12054" width="20.33203125" style="66" customWidth="1"/>
    <col min="12055" max="12055" width="8.33203125" style="66" customWidth="1"/>
    <col min="12056" max="12056" width="28.5" style="66" bestFit="1" customWidth="1"/>
    <col min="12057" max="12287" width="11.5" style="66"/>
    <col min="12288" max="12288" width="4.6640625" style="66" customWidth="1"/>
    <col min="12289" max="12289" width="10.1640625" style="66" customWidth="1"/>
    <col min="12290" max="12290" width="51.1640625" style="66" customWidth="1"/>
    <col min="12291" max="12294" width="17.6640625" style="66" customWidth="1"/>
    <col min="12295" max="12297" width="17.83203125" style="66" customWidth="1"/>
    <col min="12298" max="12298" width="0" style="66" hidden="1" customWidth="1"/>
    <col min="12299" max="12299" width="17.83203125" style="66" customWidth="1"/>
    <col min="12300" max="12300" width="22.83203125" style="66" customWidth="1"/>
    <col min="12301" max="12303" width="17.83203125" style="66" customWidth="1"/>
    <col min="12304" max="12304" width="15.6640625" style="66" customWidth="1"/>
    <col min="12305" max="12305" width="22.33203125" style="66" customWidth="1"/>
    <col min="12306" max="12308" width="17.83203125" style="66" customWidth="1"/>
    <col min="12309" max="12309" width="22.6640625" style="66" customWidth="1"/>
    <col min="12310" max="12310" width="20.33203125" style="66" customWidth="1"/>
    <col min="12311" max="12311" width="8.33203125" style="66" customWidth="1"/>
    <col min="12312" max="12312" width="28.5" style="66" bestFit="1" customWidth="1"/>
    <col min="12313" max="12543" width="11.5" style="66"/>
    <col min="12544" max="12544" width="4.6640625" style="66" customWidth="1"/>
    <col min="12545" max="12545" width="10.1640625" style="66" customWidth="1"/>
    <col min="12546" max="12546" width="51.1640625" style="66" customWidth="1"/>
    <col min="12547" max="12550" width="17.6640625" style="66" customWidth="1"/>
    <col min="12551" max="12553" width="17.83203125" style="66" customWidth="1"/>
    <col min="12554" max="12554" width="0" style="66" hidden="1" customWidth="1"/>
    <col min="12555" max="12555" width="17.83203125" style="66" customWidth="1"/>
    <col min="12556" max="12556" width="22.83203125" style="66" customWidth="1"/>
    <col min="12557" max="12559" width="17.83203125" style="66" customWidth="1"/>
    <col min="12560" max="12560" width="15.6640625" style="66" customWidth="1"/>
    <col min="12561" max="12561" width="22.33203125" style="66" customWidth="1"/>
    <col min="12562" max="12564" width="17.83203125" style="66" customWidth="1"/>
    <col min="12565" max="12565" width="22.6640625" style="66" customWidth="1"/>
    <col min="12566" max="12566" width="20.33203125" style="66" customWidth="1"/>
    <col min="12567" max="12567" width="8.33203125" style="66" customWidth="1"/>
    <col min="12568" max="12568" width="28.5" style="66" bestFit="1" customWidth="1"/>
    <col min="12569" max="12799" width="11.5" style="66"/>
    <col min="12800" max="12800" width="4.6640625" style="66" customWidth="1"/>
    <col min="12801" max="12801" width="10.1640625" style="66" customWidth="1"/>
    <col min="12802" max="12802" width="51.1640625" style="66" customWidth="1"/>
    <col min="12803" max="12806" width="17.6640625" style="66" customWidth="1"/>
    <col min="12807" max="12809" width="17.83203125" style="66" customWidth="1"/>
    <col min="12810" max="12810" width="0" style="66" hidden="1" customWidth="1"/>
    <col min="12811" max="12811" width="17.83203125" style="66" customWidth="1"/>
    <col min="12812" max="12812" width="22.83203125" style="66" customWidth="1"/>
    <col min="12813" max="12815" width="17.83203125" style="66" customWidth="1"/>
    <col min="12816" max="12816" width="15.6640625" style="66" customWidth="1"/>
    <col min="12817" max="12817" width="22.33203125" style="66" customWidth="1"/>
    <col min="12818" max="12820" width="17.83203125" style="66" customWidth="1"/>
    <col min="12821" max="12821" width="22.6640625" style="66" customWidth="1"/>
    <col min="12822" max="12822" width="20.33203125" style="66" customWidth="1"/>
    <col min="12823" max="12823" width="8.33203125" style="66" customWidth="1"/>
    <col min="12824" max="12824" width="28.5" style="66" bestFit="1" customWidth="1"/>
    <col min="12825" max="13055" width="11.5" style="66"/>
    <col min="13056" max="13056" width="4.6640625" style="66" customWidth="1"/>
    <col min="13057" max="13057" width="10.1640625" style="66" customWidth="1"/>
    <col min="13058" max="13058" width="51.1640625" style="66" customWidth="1"/>
    <col min="13059" max="13062" width="17.6640625" style="66" customWidth="1"/>
    <col min="13063" max="13065" width="17.83203125" style="66" customWidth="1"/>
    <col min="13066" max="13066" width="0" style="66" hidden="1" customWidth="1"/>
    <col min="13067" max="13067" width="17.83203125" style="66" customWidth="1"/>
    <col min="13068" max="13068" width="22.83203125" style="66" customWidth="1"/>
    <col min="13069" max="13071" width="17.83203125" style="66" customWidth="1"/>
    <col min="13072" max="13072" width="15.6640625" style="66" customWidth="1"/>
    <col min="13073" max="13073" width="22.33203125" style="66" customWidth="1"/>
    <col min="13074" max="13076" width="17.83203125" style="66" customWidth="1"/>
    <col min="13077" max="13077" width="22.6640625" style="66" customWidth="1"/>
    <col min="13078" max="13078" width="20.33203125" style="66" customWidth="1"/>
    <col min="13079" max="13079" width="8.33203125" style="66" customWidth="1"/>
    <col min="13080" max="13080" width="28.5" style="66" bestFit="1" customWidth="1"/>
    <col min="13081" max="13311" width="11.5" style="66"/>
    <col min="13312" max="13312" width="4.6640625" style="66" customWidth="1"/>
    <col min="13313" max="13313" width="10.1640625" style="66" customWidth="1"/>
    <col min="13314" max="13314" width="51.1640625" style="66" customWidth="1"/>
    <col min="13315" max="13318" width="17.6640625" style="66" customWidth="1"/>
    <col min="13319" max="13321" width="17.83203125" style="66" customWidth="1"/>
    <col min="13322" max="13322" width="0" style="66" hidden="1" customWidth="1"/>
    <col min="13323" max="13323" width="17.83203125" style="66" customWidth="1"/>
    <col min="13324" max="13324" width="22.83203125" style="66" customWidth="1"/>
    <col min="13325" max="13327" width="17.83203125" style="66" customWidth="1"/>
    <col min="13328" max="13328" width="15.6640625" style="66" customWidth="1"/>
    <col min="13329" max="13329" width="22.33203125" style="66" customWidth="1"/>
    <col min="13330" max="13332" width="17.83203125" style="66" customWidth="1"/>
    <col min="13333" max="13333" width="22.6640625" style="66" customWidth="1"/>
    <col min="13334" max="13334" width="20.33203125" style="66" customWidth="1"/>
    <col min="13335" max="13335" width="8.33203125" style="66" customWidth="1"/>
    <col min="13336" max="13336" width="28.5" style="66" bestFit="1" customWidth="1"/>
    <col min="13337" max="13567" width="11.5" style="66"/>
    <col min="13568" max="13568" width="4.6640625" style="66" customWidth="1"/>
    <col min="13569" max="13569" width="10.1640625" style="66" customWidth="1"/>
    <col min="13570" max="13570" width="51.1640625" style="66" customWidth="1"/>
    <col min="13571" max="13574" width="17.6640625" style="66" customWidth="1"/>
    <col min="13575" max="13577" width="17.83203125" style="66" customWidth="1"/>
    <col min="13578" max="13578" width="0" style="66" hidden="1" customWidth="1"/>
    <col min="13579" max="13579" width="17.83203125" style="66" customWidth="1"/>
    <col min="13580" max="13580" width="22.83203125" style="66" customWidth="1"/>
    <col min="13581" max="13583" width="17.83203125" style="66" customWidth="1"/>
    <col min="13584" max="13584" width="15.6640625" style="66" customWidth="1"/>
    <col min="13585" max="13585" width="22.33203125" style="66" customWidth="1"/>
    <col min="13586" max="13588" width="17.83203125" style="66" customWidth="1"/>
    <col min="13589" max="13589" width="22.6640625" style="66" customWidth="1"/>
    <col min="13590" max="13590" width="20.33203125" style="66" customWidth="1"/>
    <col min="13591" max="13591" width="8.33203125" style="66" customWidth="1"/>
    <col min="13592" max="13592" width="28.5" style="66" bestFit="1" customWidth="1"/>
    <col min="13593" max="13823" width="11.5" style="66"/>
    <col min="13824" max="13824" width="4.6640625" style="66" customWidth="1"/>
    <col min="13825" max="13825" width="10.1640625" style="66" customWidth="1"/>
    <col min="13826" max="13826" width="51.1640625" style="66" customWidth="1"/>
    <col min="13827" max="13830" width="17.6640625" style="66" customWidth="1"/>
    <col min="13831" max="13833" width="17.83203125" style="66" customWidth="1"/>
    <col min="13834" max="13834" width="0" style="66" hidden="1" customWidth="1"/>
    <col min="13835" max="13835" width="17.83203125" style="66" customWidth="1"/>
    <col min="13836" max="13836" width="22.83203125" style="66" customWidth="1"/>
    <col min="13837" max="13839" width="17.83203125" style="66" customWidth="1"/>
    <col min="13840" max="13840" width="15.6640625" style="66" customWidth="1"/>
    <col min="13841" max="13841" width="22.33203125" style="66" customWidth="1"/>
    <col min="13842" max="13844" width="17.83203125" style="66" customWidth="1"/>
    <col min="13845" max="13845" width="22.6640625" style="66" customWidth="1"/>
    <col min="13846" max="13846" width="20.33203125" style="66" customWidth="1"/>
    <col min="13847" max="13847" width="8.33203125" style="66" customWidth="1"/>
    <col min="13848" max="13848" width="28.5" style="66" bestFit="1" customWidth="1"/>
    <col min="13849" max="14079" width="11.5" style="66"/>
    <col min="14080" max="14080" width="4.6640625" style="66" customWidth="1"/>
    <col min="14081" max="14081" width="10.1640625" style="66" customWidth="1"/>
    <col min="14082" max="14082" width="51.1640625" style="66" customWidth="1"/>
    <col min="14083" max="14086" width="17.6640625" style="66" customWidth="1"/>
    <col min="14087" max="14089" width="17.83203125" style="66" customWidth="1"/>
    <col min="14090" max="14090" width="0" style="66" hidden="1" customWidth="1"/>
    <col min="14091" max="14091" width="17.83203125" style="66" customWidth="1"/>
    <col min="14092" max="14092" width="22.83203125" style="66" customWidth="1"/>
    <col min="14093" max="14095" width="17.83203125" style="66" customWidth="1"/>
    <col min="14096" max="14096" width="15.6640625" style="66" customWidth="1"/>
    <col min="14097" max="14097" width="22.33203125" style="66" customWidth="1"/>
    <col min="14098" max="14100" width="17.83203125" style="66" customWidth="1"/>
    <col min="14101" max="14101" width="22.6640625" style="66" customWidth="1"/>
    <col min="14102" max="14102" width="20.33203125" style="66" customWidth="1"/>
    <col min="14103" max="14103" width="8.33203125" style="66" customWidth="1"/>
    <col min="14104" max="14104" width="28.5" style="66" bestFit="1" customWidth="1"/>
    <col min="14105" max="14335" width="11.5" style="66"/>
    <col min="14336" max="14336" width="4.6640625" style="66" customWidth="1"/>
    <col min="14337" max="14337" width="10.1640625" style="66" customWidth="1"/>
    <col min="14338" max="14338" width="51.1640625" style="66" customWidth="1"/>
    <col min="14339" max="14342" width="17.6640625" style="66" customWidth="1"/>
    <col min="14343" max="14345" width="17.83203125" style="66" customWidth="1"/>
    <col min="14346" max="14346" width="0" style="66" hidden="1" customWidth="1"/>
    <col min="14347" max="14347" width="17.83203125" style="66" customWidth="1"/>
    <col min="14348" max="14348" width="22.83203125" style="66" customWidth="1"/>
    <col min="14349" max="14351" width="17.83203125" style="66" customWidth="1"/>
    <col min="14352" max="14352" width="15.6640625" style="66" customWidth="1"/>
    <col min="14353" max="14353" width="22.33203125" style="66" customWidth="1"/>
    <col min="14354" max="14356" width="17.83203125" style="66" customWidth="1"/>
    <col min="14357" max="14357" width="22.6640625" style="66" customWidth="1"/>
    <col min="14358" max="14358" width="20.33203125" style="66" customWidth="1"/>
    <col min="14359" max="14359" width="8.33203125" style="66" customWidth="1"/>
    <col min="14360" max="14360" width="28.5" style="66" bestFit="1" customWidth="1"/>
    <col min="14361" max="14591" width="11.5" style="66"/>
    <col min="14592" max="14592" width="4.6640625" style="66" customWidth="1"/>
    <col min="14593" max="14593" width="10.1640625" style="66" customWidth="1"/>
    <col min="14594" max="14594" width="51.1640625" style="66" customWidth="1"/>
    <col min="14595" max="14598" width="17.6640625" style="66" customWidth="1"/>
    <col min="14599" max="14601" width="17.83203125" style="66" customWidth="1"/>
    <col min="14602" max="14602" width="0" style="66" hidden="1" customWidth="1"/>
    <col min="14603" max="14603" width="17.83203125" style="66" customWidth="1"/>
    <col min="14604" max="14604" width="22.83203125" style="66" customWidth="1"/>
    <col min="14605" max="14607" width="17.83203125" style="66" customWidth="1"/>
    <col min="14608" max="14608" width="15.6640625" style="66" customWidth="1"/>
    <col min="14609" max="14609" width="22.33203125" style="66" customWidth="1"/>
    <col min="14610" max="14612" width="17.83203125" style="66" customWidth="1"/>
    <col min="14613" max="14613" width="22.6640625" style="66" customWidth="1"/>
    <col min="14614" max="14614" width="20.33203125" style="66" customWidth="1"/>
    <col min="14615" max="14615" width="8.33203125" style="66" customWidth="1"/>
    <col min="14616" max="14616" width="28.5" style="66" bestFit="1" customWidth="1"/>
    <col min="14617" max="14847" width="11.5" style="66"/>
    <col min="14848" max="14848" width="4.6640625" style="66" customWidth="1"/>
    <col min="14849" max="14849" width="10.1640625" style="66" customWidth="1"/>
    <col min="14850" max="14850" width="51.1640625" style="66" customWidth="1"/>
    <col min="14851" max="14854" width="17.6640625" style="66" customWidth="1"/>
    <col min="14855" max="14857" width="17.83203125" style="66" customWidth="1"/>
    <col min="14858" max="14858" width="0" style="66" hidden="1" customWidth="1"/>
    <col min="14859" max="14859" width="17.83203125" style="66" customWidth="1"/>
    <col min="14860" max="14860" width="22.83203125" style="66" customWidth="1"/>
    <col min="14861" max="14863" width="17.83203125" style="66" customWidth="1"/>
    <col min="14864" max="14864" width="15.6640625" style="66" customWidth="1"/>
    <col min="14865" max="14865" width="22.33203125" style="66" customWidth="1"/>
    <col min="14866" max="14868" width="17.83203125" style="66" customWidth="1"/>
    <col min="14869" max="14869" width="22.6640625" style="66" customWidth="1"/>
    <col min="14870" max="14870" width="20.33203125" style="66" customWidth="1"/>
    <col min="14871" max="14871" width="8.33203125" style="66" customWidth="1"/>
    <col min="14872" max="14872" width="28.5" style="66" bestFit="1" customWidth="1"/>
    <col min="14873" max="15103" width="11.5" style="66"/>
    <col min="15104" max="15104" width="4.6640625" style="66" customWidth="1"/>
    <col min="15105" max="15105" width="10.1640625" style="66" customWidth="1"/>
    <col min="15106" max="15106" width="51.1640625" style="66" customWidth="1"/>
    <col min="15107" max="15110" width="17.6640625" style="66" customWidth="1"/>
    <col min="15111" max="15113" width="17.83203125" style="66" customWidth="1"/>
    <col min="15114" max="15114" width="0" style="66" hidden="1" customWidth="1"/>
    <col min="15115" max="15115" width="17.83203125" style="66" customWidth="1"/>
    <col min="15116" max="15116" width="22.83203125" style="66" customWidth="1"/>
    <col min="15117" max="15119" width="17.83203125" style="66" customWidth="1"/>
    <col min="15120" max="15120" width="15.6640625" style="66" customWidth="1"/>
    <col min="15121" max="15121" width="22.33203125" style="66" customWidth="1"/>
    <col min="15122" max="15124" width="17.83203125" style="66" customWidth="1"/>
    <col min="15125" max="15125" width="22.6640625" style="66" customWidth="1"/>
    <col min="15126" max="15126" width="20.33203125" style="66" customWidth="1"/>
    <col min="15127" max="15127" width="8.33203125" style="66" customWidth="1"/>
    <col min="15128" max="15128" width="28.5" style="66" bestFit="1" customWidth="1"/>
    <col min="15129" max="15359" width="11.5" style="66"/>
    <col min="15360" max="15360" width="4.6640625" style="66" customWidth="1"/>
    <col min="15361" max="15361" width="10.1640625" style="66" customWidth="1"/>
    <col min="15362" max="15362" width="51.1640625" style="66" customWidth="1"/>
    <col min="15363" max="15366" width="17.6640625" style="66" customWidth="1"/>
    <col min="15367" max="15369" width="17.83203125" style="66" customWidth="1"/>
    <col min="15370" max="15370" width="0" style="66" hidden="1" customWidth="1"/>
    <col min="15371" max="15371" width="17.83203125" style="66" customWidth="1"/>
    <col min="15372" max="15372" width="22.83203125" style="66" customWidth="1"/>
    <col min="15373" max="15375" width="17.83203125" style="66" customWidth="1"/>
    <col min="15376" max="15376" width="15.6640625" style="66" customWidth="1"/>
    <col min="15377" max="15377" width="22.33203125" style="66" customWidth="1"/>
    <col min="15378" max="15380" width="17.83203125" style="66" customWidth="1"/>
    <col min="15381" max="15381" width="22.6640625" style="66" customWidth="1"/>
    <col min="15382" max="15382" width="20.33203125" style="66" customWidth="1"/>
    <col min="15383" max="15383" width="8.33203125" style="66" customWidth="1"/>
    <col min="15384" max="15384" width="28.5" style="66" bestFit="1" customWidth="1"/>
    <col min="15385" max="15615" width="11.5" style="66"/>
    <col min="15616" max="15616" width="4.6640625" style="66" customWidth="1"/>
    <col min="15617" max="15617" width="10.1640625" style="66" customWidth="1"/>
    <col min="15618" max="15618" width="51.1640625" style="66" customWidth="1"/>
    <col min="15619" max="15622" width="17.6640625" style="66" customWidth="1"/>
    <col min="15623" max="15625" width="17.83203125" style="66" customWidth="1"/>
    <col min="15626" max="15626" width="0" style="66" hidden="1" customWidth="1"/>
    <col min="15627" max="15627" width="17.83203125" style="66" customWidth="1"/>
    <col min="15628" max="15628" width="22.83203125" style="66" customWidth="1"/>
    <col min="15629" max="15631" width="17.83203125" style="66" customWidth="1"/>
    <col min="15632" max="15632" width="15.6640625" style="66" customWidth="1"/>
    <col min="15633" max="15633" width="22.33203125" style="66" customWidth="1"/>
    <col min="15634" max="15636" width="17.83203125" style="66" customWidth="1"/>
    <col min="15637" max="15637" width="22.6640625" style="66" customWidth="1"/>
    <col min="15638" max="15638" width="20.33203125" style="66" customWidth="1"/>
    <col min="15639" max="15639" width="8.33203125" style="66" customWidth="1"/>
    <col min="15640" max="15640" width="28.5" style="66" bestFit="1" customWidth="1"/>
    <col min="15641" max="15871" width="11.5" style="66"/>
    <col min="15872" max="15872" width="4.6640625" style="66" customWidth="1"/>
    <col min="15873" max="15873" width="10.1640625" style="66" customWidth="1"/>
    <col min="15874" max="15874" width="51.1640625" style="66" customWidth="1"/>
    <col min="15875" max="15878" width="17.6640625" style="66" customWidth="1"/>
    <col min="15879" max="15881" width="17.83203125" style="66" customWidth="1"/>
    <col min="15882" max="15882" width="0" style="66" hidden="1" customWidth="1"/>
    <col min="15883" max="15883" width="17.83203125" style="66" customWidth="1"/>
    <col min="15884" max="15884" width="22.83203125" style="66" customWidth="1"/>
    <col min="15885" max="15887" width="17.83203125" style="66" customWidth="1"/>
    <col min="15888" max="15888" width="15.6640625" style="66" customWidth="1"/>
    <col min="15889" max="15889" width="22.33203125" style="66" customWidth="1"/>
    <col min="15890" max="15892" width="17.83203125" style="66" customWidth="1"/>
    <col min="15893" max="15893" width="22.6640625" style="66" customWidth="1"/>
    <col min="15894" max="15894" width="20.33203125" style="66" customWidth="1"/>
    <col min="15895" max="15895" width="8.33203125" style="66" customWidth="1"/>
    <col min="15896" max="15896" width="28.5" style="66" bestFit="1" customWidth="1"/>
    <col min="15897" max="16127" width="11.5" style="66"/>
    <col min="16128" max="16128" width="4.6640625" style="66" customWidth="1"/>
    <col min="16129" max="16129" width="10.1640625" style="66" customWidth="1"/>
    <col min="16130" max="16130" width="51.1640625" style="66" customWidth="1"/>
    <col min="16131" max="16134" width="17.6640625" style="66" customWidth="1"/>
    <col min="16135" max="16137" width="17.83203125" style="66" customWidth="1"/>
    <col min="16138" max="16138" width="0" style="66" hidden="1" customWidth="1"/>
    <col min="16139" max="16139" width="17.83203125" style="66" customWidth="1"/>
    <col min="16140" max="16140" width="22.83203125" style="66" customWidth="1"/>
    <col min="16141" max="16143" width="17.83203125" style="66" customWidth="1"/>
    <col min="16144" max="16144" width="15.6640625" style="66" customWidth="1"/>
    <col min="16145" max="16145" width="22.33203125" style="66" customWidth="1"/>
    <col min="16146" max="16148" width="17.83203125" style="66" customWidth="1"/>
    <col min="16149" max="16149" width="22.6640625" style="66" customWidth="1"/>
    <col min="16150" max="16150" width="20.33203125" style="66" customWidth="1"/>
    <col min="16151" max="16151" width="8.33203125" style="66" customWidth="1"/>
    <col min="16152" max="16152" width="28.5" style="66" bestFit="1" customWidth="1"/>
    <col min="16153" max="16384" width="11.5" style="66"/>
  </cols>
  <sheetData>
    <row r="5" spans="1:26" ht="30" customHeight="1">
      <c r="A5" s="73" t="s">
        <v>0</v>
      </c>
      <c r="B5" s="73"/>
      <c r="C5" s="73"/>
      <c r="D5" s="73"/>
      <c r="E5" s="73"/>
      <c r="F5" s="76"/>
      <c r="G5" s="75"/>
      <c r="H5" s="77"/>
      <c r="I5" s="77"/>
      <c r="J5" s="73"/>
      <c r="K5" s="73"/>
      <c r="L5" s="78"/>
      <c r="M5" s="79"/>
      <c r="N5" s="78"/>
      <c r="O5" s="78"/>
      <c r="P5" s="78"/>
      <c r="Q5" s="78"/>
      <c r="R5" s="78"/>
      <c r="S5" s="112"/>
      <c r="T5" s="112"/>
      <c r="U5" s="112"/>
      <c r="V5" s="66"/>
    </row>
    <row r="6" spans="1:26" ht="30" customHeight="1">
      <c r="A6" s="73" t="s">
        <v>1</v>
      </c>
      <c r="B6" s="73"/>
      <c r="C6" s="73"/>
      <c r="D6" s="73"/>
      <c r="E6" s="73"/>
      <c r="F6" s="119" t="s">
        <v>79</v>
      </c>
      <c r="H6" s="77"/>
      <c r="I6" s="77"/>
      <c r="J6" s="73"/>
      <c r="K6" s="73"/>
      <c r="V6" s="66"/>
    </row>
    <row r="7" spans="1:26" s="80" customFormat="1" ht="30" customHeight="1">
      <c r="A7" s="73" t="s">
        <v>2</v>
      </c>
      <c r="B7" s="73"/>
      <c r="C7" s="73"/>
      <c r="D7" s="73"/>
      <c r="E7" s="73"/>
      <c r="F7" s="76"/>
      <c r="G7" s="75"/>
      <c r="H7" s="77"/>
      <c r="I7" s="77"/>
      <c r="J7" s="73"/>
      <c r="K7" s="73"/>
      <c r="L7" s="78"/>
      <c r="M7" s="79"/>
      <c r="N7" s="78"/>
      <c r="O7" s="78"/>
      <c r="P7" s="78"/>
      <c r="Q7" s="78"/>
      <c r="R7" s="78"/>
      <c r="S7" s="112"/>
      <c r="T7" s="112"/>
      <c r="U7" s="112"/>
      <c r="V7" s="66"/>
    </row>
    <row r="8" spans="1:26" ht="21" customHeight="1">
      <c r="V8" s="81"/>
    </row>
    <row r="9" spans="1:26" s="82" customFormat="1" ht="62" customHeight="1">
      <c r="A9" s="300" t="s">
        <v>3</v>
      </c>
      <c r="B9" s="300" t="s">
        <v>4</v>
      </c>
      <c r="C9" s="300" t="s">
        <v>5</v>
      </c>
      <c r="D9" s="300" t="s">
        <v>6</v>
      </c>
      <c r="E9" s="300" t="s">
        <v>35</v>
      </c>
      <c r="F9" s="302" t="s">
        <v>38</v>
      </c>
      <c r="G9" s="298" t="s">
        <v>9</v>
      </c>
      <c r="H9" s="298" t="s">
        <v>11</v>
      </c>
      <c r="I9" s="298" t="s">
        <v>39</v>
      </c>
      <c r="J9" s="298" t="s">
        <v>45</v>
      </c>
      <c r="K9" s="298" t="s">
        <v>37</v>
      </c>
      <c r="L9" s="308" t="s">
        <v>47</v>
      </c>
      <c r="M9" s="310" t="s">
        <v>29</v>
      </c>
      <c r="N9" s="311"/>
      <c r="O9" s="311"/>
      <c r="P9" s="312"/>
      <c r="Q9" s="308" t="s">
        <v>33</v>
      </c>
      <c r="R9" s="308" t="s">
        <v>34</v>
      </c>
      <c r="S9" s="304" t="s">
        <v>41</v>
      </c>
      <c r="T9" s="304" t="s">
        <v>40</v>
      </c>
      <c r="U9" s="304" t="s">
        <v>12</v>
      </c>
      <c r="V9" s="306" t="s">
        <v>42</v>
      </c>
    </row>
    <row r="10" spans="1:26" s="82" customFormat="1" ht="37" customHeight="1">
      <c r="A10" s="301"/>
      <c r="B10" s="301"/>
      <c r="C10" s="301"/>
      <c r="D10" s="301"/>
      <c r="E10" s="301"/>
      <c r="F10" s="303"/>
      <c r="G10" s="299"/>
      <c r="H10" s="299"/>
      <c r="I10" s="299"/>
      <c r="J10" s="299"/>
      <c r="K10" s="299"/>
      <c r="L10" s="309"/>
      <c r="M10" s="83" t="s">
        <v>30</v>
      </c>
      <c r="N10" s="84" t="s">
        <v>31</v>
      </c>
      <c r="O10" s="84" t="s">
        <v>32</v>
      </c>
      <c r="P10" s="84" t="s">
        <v>36</v>
      </c>
      <c r="Q10" s="309"/>
      <c r="R10" s="309"/>
      <c r="S10" s="305"/>
      <c r="T10" s="305"/>
      <c r="U10" s="305"/>
      <c r="V10" s="307"/>
    </row>
    <row r="11" spans="1:26" s="94" customFormat="1" ht="30" customHeight="1">
      <c r="A11" s="85">
        <v>1</v>
      </c>
      <c r="B11" s="86" t="s">
        <v>2717</v>
      </c>
      <c r="C11" s="126"/>
      <c r="D11" s="126" t="s">
        <v>51</v>
      </c>
      <c r="E11" s="127" t="s">
        <v>52</v>
      </c>
      <c r="F11" s="258">
        <v>46205</v>
      </c>
      <c r="G11" s="257" t="s">
        <v>2719</v>
      </c>
      <c r="H11" s="89" t="s">
        <v>2724</v>
      </c>
      <c r="I11" s="313" t="s">
        <v>2718</v>
      </c>
      <c r="J11" s="314"/>
      <c r="K11" s="314"/>
      <c r="L11" s="257">
        <v>1</v>
      </c>
      <c r="M11" s="91"/>
      <c r="N11" s="90"/>
      <c r="O11" s="90"/>
      <c r="P11" s="90"/>
      <c r="Q11" s="90"/>
      <c r="R11" s="90">
        <f>+P11-Q11</f>
        <v>0</v>
      </c>
      <c r="S11" s="92">
        <v>8959090909.0900002</v>
      </c>
      <c r="T11" s="92">
        <f>S11</f>
        <v>8959090909.0900002</v>
      </c>
      <c r="U11" s="92">
        <f t="shared" ref="U11" si="0">T11*10%</f>
        <v>895909090.90900004</v>
      </c>
      <c r="V11" s="93">
        <f>SUM(T11:U11)</f>
        <v>9854999999.9990005</v>
      </c>
      <c r="W11" s="115"/>
    </row>
    <row r="12" spans="1:26" s="94" customFormat="1" ht="30" customHeight="1">
      <c r="A12" s="85">
        <v>2</v>
      </c>
      <c r="B12" s="86" t="s">
        <v>2720</v>
      </c>
      <c r="C12" s="126"/>
      <c r="D12" s="126" t="s">
        <v>51</v>
      </c>
      <c r="E12" s="127" t="s">
        <v>52</v>
      </c>
      <c r="F12" s="259">
        <v>46234</v>
      </c>
      <c r="G12" s="256" t="s">
        <v>2722</v>
      </c>
      <c r="H12" s="89" t="s">
        <v>2725</v>
      </c>
      <c r="I12" s="313" t="s">
        <v>2721</v>
      </c>
      <c r="J12" s="314"/>
      <c r="K12" s="315"/>
      <c r="L12" s="257">
        <v>1</v>
      </c>
      <c r="M12" s="91"/>
      <c r="N12" s="90"/>
      <c r="O12" s="90"/>
      <c r="P12" s="90"/>
      <c r="Q12" s="90"/>
      <c r="R12" s="90"/>
      <c r="S12" s="92">
        <v>243864671.19</v>
      </c>
      <c r="T12" s="92">
        <f t="shared" ref="T12:T13" si="1">S12</f>
        <v>243864671.19</v>
      </c>
      <c r="U12" s="92">
        <f t="shared" ref="U12:U13" si="2">T12*10%</f>
        <v>24386467.119000003</v>
      </c>
      <c r="V12" s="93">
        <f t="shared" ref="V12:V13" si="3">SUM(T12:U12)</f>
        <v>268251138.30900002</v>
      </c>
      <c r="W12" s="115"/>
    </row>
    <row r="13" spans="1:26" s="94" customFormat="1" ht="30" customHeight="1">
      <c r="A13" s="85">
        <v>3</v>
      </c>
      <c r="B13" s="86" t="s">
        <v>2720</v>
      </c>
      <c r="C13" s="126"/>
      <c r="D13" s="126" t="s">
        <v>51</v>
      </c>
      <c r="E13" s="127" t="s">
        <v>52</v>
      </c>
      <c r="F13" s="259">
        <v>46234</v>
      </c>
      <c r="G13" s="256" t="s">
        <v>2723</v>
      </c>
      <c r="H13" s="89" t="s">
        <v>2726</v>
      </c>
      <c r="I13" s="313" t="s">
        <v>2721</v>
      </c>
      <c r="J13" s="314"/>
      <c r="K13" s="315"/>
      <c r="L13" s="257">
        <v>1</v>
      </c>
      <c r="M13" s="91"/>
      <c r="N13" s="90"/>
      <c r="O13" s="90"/>
      <c r="P13" s="90"/>
      <c r="Q13" s="90"/>
      <c r="R13" s="90">
        <f>+P13-Q13</f>
        <v>0</v>
      </c>
      <c r="S13" s="92">
        <v>243864671.19</v>
      </c>
      <c r="T13" s="92">
        <f t="shared" si="1"/>
        <v>243864671.19</v>
      </c>
      <c r="U13" s="92">
        <f t="shared" si="2"/>
        <v>24386467.119000003</v>
      </c>
      <c r="V13" s="93">
        <f t="shared" si="3"/>
        <v>268251138.30900002</v>
      </c>
      <c r="W13" s="110"/>
      <c r="X13" s="109"/>
    </row>
    <row r="14" spans="1:26" s="101" customFormat="1" ht="29" customHeight="1">
      <c r="A14" s="95"/>
      <c r="B14" s="96" t="s">
        <v>15</v>
      </c>
      <c r="C14" s="95"/>
      <c r="D14" s="95"/>
      <c r="E14" s="95"/>
      <c r="F14" s="98"/>
      <c r="G14" s="97"/>
      <c r="H14" s="97"/>
      <c r="I14" s="97"/>
      <c r="J14" s="97"/>
      <c r="K14" s="97"/>
      <c r="L14" s="99">
        <f>SUBTOTAL(9,L11:L13)</f>
        <v>3</v>
      </c>
      <c r="M14" s="100"/>
      <c r="N14" s="99"/>
      <c r="O14" s="99"/>
      <c r="P14" s="99"/>
      <c r="Q14" s="99"/>
      <c r="R14" s="99">
        <f>SUM(R11:R13)</f>
        <v>0</v>
      </c>
      <c r="S14" s="113">
        <f>SUM(S11:S13)</f>
        <v>9446820251.4700012</v>
      </c>
      <c r="T14" s="113">
        <f>SUM(T11:T13)</f>
        <v>9446820251.4700012</v>
      </c>
      <c r="U14" s="113">
        <f>SUM(U11:U13)</f>
        <v>944682025.14699996</v>
      </c>
      <c r="V14" s="99">
        <f>SUM(V11:V13)</f>
        <v>10391502276.617001</v>
      </c>
      <c r="W14" s="66"/>
      <c r="X14" s="66"/>
      <c r="Y14" s="66"/>
      <c r="Z14" s="66"/>
    </row>
    <row r="17" spans="2:23" ht="30" customHeight="1">
      <c r="W17" s="72"/>
    </row>
    <row r="18" spans="2:23" ht="30" customHeight="1">
      <c r="B18" s="102" t="s">
        <v>16</v>
      </c>
      <c r="C18" s="80"/>
      <c r="D18" s="80"/>
      <c r="E18" s="103"/>
      <c r="F18" s="104"/>
      <c r="G18" s="103"/>
      <c r="H18" s="103"/>
      <c r="I18" s="103"/>
      <c r="J18" s="103" t="s">
        <v>28</v>
      </c>
      <c r="K18" s="103"/>
      <c r="L18" s="105">
        <v>22</v>
      </c>
      <c r="M18" s="106"/>
      <c r="N18" s="105"/>
      <c r="O18" s="105"/>
      <c r="P18" s="105"/>
      <c r="Q18" s="105"/>
      <c r="R18" s="105"/>
      <c r="S18" s="103" t="s">
        <v>46</v>
      </c>
      <c r="T18" s="103"/>
      <c r="U18" s="103"/>
      <c r="V18" s="107"/>
      <c r="W18" s="70"/>
    </row>
    <row r="19" spans="2:23" ht="30" customHeight="1">
      <c r="F19" s="68"/>
      <c r="L19" s="68"/>
      <c r="M19" s="108"/>
      <c r="N19" s="68"/>
      <c r="O19" s="68"/>
      <c r="P19" s="68"/>
      <c r="Q19" s="68"/>
      <c r="R19" s="68"/>
      <c r="S19" s="114"/>
      <c r="T19" s="114"/>
      <c r="U19" s="114"/>
      <c r="V19" s="70"/>
    </row>
  </sheetData>
  <autoFilter ref="A9:V13" xr:uid="{EC4EE9C6-B516-A146-9B5A-3BE7E6D13B4C}">
    <sortState ref="A12:V13">
      <sortCondition ref="G9:G13"/>
    </sortState>
  </autoFilter>
  <mergeCells count="22">
    <mergeCell ref="I11:K11"/>
    <mergeCell ref="I12:K12"/>
    <mergeCell ref="I13:K13"/>
    <mergeCell ref="J9:J10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T9:T10"/>
    <mergeCell ref="U9:U10"/>
    <mergeCell ref="V9:V10"/>
    <mergeCell ref="K9:K10"/>
    <mergeCell ref="L9:L10"/>
    <mergeCell ref="M9:P9"/>
    <mergeCell ref="Q9:Q10"/>
    <mergeCell ref="R9:R10"/>
    <mergeCell ref="S9:S10"/>
  </mergeCells>
  <phoneticPr fontId="3"/>
  <printOptions horizontalCentered="1"/>
  <pageMargins left="0.25" right="0.25" top="1" bottom="0.75" header="0.3" footer="0"/>
  <pageSetup paperSize="9" scale="24" fitToHeight="15" pageOrder="overThenDown" orientation="portrait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4D50B-DB08-8B4E-95F9-B422B9A24B6D}">
  <sheetPr>
    <tabColor rgb="FF92D050"/>
    <pageSetUpPr fitToPage="1"/>
  </sheetPr>
  <dimension ref="A5:AB190"/>
  <sheetViews>
    <sheetView showGridLines="0" zoomScaleNormal="100" zoomScaleSheetLayoutView="30" workbookViewId="0">
      <pane ySplit="10" topLeftCell="A28" activePane="bottomLeft" state="frozen"/>
      <selection pane="bottomLeft" activeCell="U78" sqref="U78"/>
    </sheetView>
  </sheetViews>
  <sheetFormatPr baseColWidth="10" defaultColWidth="11.5" defaultRowHeight="30" customHeight="1"/>
  <cols>
    <col min="1" max="1" width="7.33203125" style="66" customWidth="1"/>
    <col min="2" max="2" width="61.1640625" style="67" customWidth="1"/>
    <col min="3" max="5" width="12.83203125" style="66" customWidth="1"/>
    <col min="6" max="6" width="17.33203125" style="68" customWidth="1"/>
    <col min="7" max="7" width="14.6640625" style="69" customWidth="1"/>
    <col min="8" max="10" width="12.83203125" style="68" customWidth="1"/>
    <col min="11" max="11" width="11.33203125" style="68" customWidth="1"/>
    <col min="12" max="13" width="12.83203125" style="68" customWidth="1"/>
    <col min="14" max="14" width="12.83203125" style="70" customWidth="1"/>
    <col min="15" max="15" width="12.83203125" style="71" customWidth="1"/>
    <col min="16" max="16" width="12.83203125" style="70" customWidth="1"/>
    <col min="17" max="17" width="12.6640625" style="70" customWidth="1"/>
    <col min="18" max="19" width="12.83203125" style="70" customWidth="1"/>
    <col min="20" max="20" width="14.5" style="70" customWidth="1"/>
    <col min="21" max="21" width="14.83203125" style="111" customWidth="1"/>
    <col min="22" max="22" width="23.5" style="111" customWidth="1"/>
    <col min="23" max="23" width="20" style="111" customWidth="1"/>
    <col min="24" max="24" width="22.1640625" style="72" bestFit="1" customWidth="1"/>
    <col min="25" max="25" width="19.5" style="66" bestFit="1" customWidth="1"/>
    <col min="26" max="26" width="15.33203125" style="66" bestFit="1" customWidth="1"/>
    <col min="27" max="49" width="8.1640625" style="66" customWidth="1"/>
    <col min="50" max="257" width="11.5" style="66"/>
    <col min="258" max="258" width="4.6640625" style="66" customWidth="1"/>
    <col min="259" max="259" width="10.1640625" style="66" customWidth="1"/>
    <col min="260" max="260" width="51.1640625" style="66" customWidth="1"/>
    <col min="261" max="264" width="17.6640625" style="66" customWidth="1"/>
    <col min="265" max="267" width="17.83203125" style="66" customWidth="1"/>
    <col min="268" max="268" width="0" style="66" hidden="1" customWidth="1"/>
    <col min="269" max="269" width="17.83203125" style="66" customWidth="1"/>
    <col min="270" max="270" width="22.83203125" style="66" customWidth="1"/>
    <col min="271" max="273" width="17.83203125" style="66" customWidth="1"/>
    <col min="274" max="274" width="15.6640625" style="66" customWidth="1"/>
    <col min="275" max="275" width="22.33203125" style="66" customWidth="1"/>
    <col min="276" max="278" width="17.83203125" style="66" customWidth="1"/>
    <col min="279" max="279" width="22.6640625" style="66" customWidth="1"/>
    <col min="280" max="280" width="20.33203125" style="66" customWidth="1"/>
    <col min="281" max="281" width="8.33203125" style="66" customWidth="1"/>
    <col min="282" max="282" width="28.5" style="66" bestFit="1" customWidth="1"/>
    <col min="283" max="513" width="11.5" style="66"/>
    <col min="514" max="514" width="4.6640625" style="66" customWidth="1"/>
    <col min="515" max="515" width="10.1640625" style="66" customWidth="1"/>
    <col min="516" max="516" width="51.1640625" style="66" customWidth="1"/>
    <col min="517" max="520" width="17.6640625" style="66" customWidth="1"/>
    <col min="521" max="523" width="17.83203125" style="66" customWidth="1"/>
    <col min="524" max="524" width="0" style="66" hidden="1" customWidth="1"/>
    <col min="525" max="525" width="17.83203125" style="66" customWidth="1"/>
    <col min="526" max="526" width="22.83203125" style="66" customWidth="1"/>
    <col min="527" max="529" width="17.83203125" style="66" customWidth="1"/>
    <col min="530" max="530" width="15.6640625" style="66" customWidth="1"/>
    <col min="531" max="531" width="22.33203125" style="66" customWidth="1"/>
    <col min="532" max="534" width="17.83203125" style="66" customWidth="1"/>
    <col min="535" max="535" width="22.6640625" style="66" customWidth="1"/>
    <col min="536" max="536" width="20.33203125" style="66" customWidth="1"/>
    <col min="537" max="537" width="8.33203125" style="66" customWidth="1"/>
    <col min="538" max="538" width="28.5" style="66" bestFit="1" customWidth="1"/>
    <col min="539" max="769" width="11.5" style="66"/>
    <col min="770" max="770" width="4.6640625" style="66" customWidth="1"/>
    <col min="771" max="771" width="10.1640625" style="66" customWidth="1"/>
    <col min="772" max="772" width="51.1640625" style="66" customWidth="1"/>
    <col min="773" max="776" width="17.6640625" style="66" customWidth="1"/>
    <col min="777" max="779" width="17.83203125" style="66" customWidth="1"/>
    <col min="780" max="780" width="0" style="66" hidden="1" customWidth="1"/>
    <col min="781" max="781" width="17.83203125" style="66" customWidth="1"/>
    <col min="782" max="782" width="22.83203125" style="66" customWidth="1"/>
    <col min="783" max="785" width="17.83203125" style="66" customWidth="1"/>
    <col min="786" max="786" width="15.6640625" style="66" customWidth="1"/>
    <col min="787" max="787" width="22.33203125" style="66" customWidth="1"/>
    <col min="788" max="790" width="17.83203125" style="66" customWidth="1"/>
    <col min="791" max="791" width="22.6640625" style="66" customWidth="1"/>
    <col min="792" max="792" width="20.33203125" style="66" customWidth="1"/>
    <col min="793" max="793" width="8.33203125" style="66" customWidth="1"/>
    <col min="794" max="794" width="28.5" style="66" bestFit="1" customWidth="1"/>
    <col min="795" max="1025" width="11.5" style="66"/>
    <col min="1026" max="1026" width="4.6640625" style="66" customWidth="1"/>
    <col min="1027" max="1027" width="10.1640625" style="66" customWidth="1"/>
    <col min="1028" max="1028" width="51.1640625" style="66" customWidth="1"/>
    <col min="1029" max="1032" width="17.6640625" style="66" customWidth="1"/>
    <col min="1033" max="1035" width="17.83203125" style="66" customWidth="1"/>
    <col min="1036" max="1036" width="0" style="66" hidden="1" customWidth="1"/>
    <col min="1037" max="1037" width="17.83203125" style="66" customWidth="1"/>
    <col min="1038" max="1038" width="22.83203125" style="66" customWidth="1"/>
    <col min="1039" max="1041" width="17.83203125" style="66" customWidth="1"/>
    <col min="1042" max="1042" width="15.6640625" style="66" customWidth="1"/>
    <col min="1043" max="1043" width="22.33203125" style="66" customWidth="1"/>
    <col min="1044" max="1046" width="17.83203125" style="66" customWidth="1"/>
    <col min="1047" max="1047" width="22.6640625" style="66" customWidth="1"/>
    <col min="1048" max="1048" width="20.33203125" style="66" customWidth="1"/>
    <col min="1049" max="1049" width="8.33203125" style="66" customWidth="1"/>
    <col min="1050" max="1050" width="28.5" style="66" bestFit="1" customWidth="1"/>
    <col min="1051" max="1281" width="11.5" style="66"/>
    <col min="1282" max="1282" width="4.6640625" style="66" customWidth="1"/>
    <col min="1283" max="1283" width="10.1640625" style="66" customWidth="1"/>
    <col min="1284" max="1284" width="51.1640625" style="66" customWidth="1"/>
    <col min="1285" max="1288" width="17.6640625" style="66" customWidth="1"/>
    <col min="1289" max="1291" width="17.83203125" style="66" customWidth="1"/>
    <col min="1292" max="1292" width="0" style="66" hidden="1" customWidth="1"/>
    <col min="1293" max="1293" width="17.83203125" style="66" customWidth="1"/>
    <col min="1294" max="1294" width="22.83203125" style="66" customWidth="1"/>
    <col min="1295" max="1297" width="17.83203125" style="66" customWidth="1"/>
    <col min="1298" max="1298" width="15.6640625" style="66" customWidth="1"/>
    <col min="1299" max="1299" width="22.33203125" style="66" customWidth="1"/>
    <col min="1300" max="1302" width="17.83203125" style="66" customWidth="1"/>
    <col min="1303" max="1303" width="22.6640625" style="66" customWidth="1"/>
    <col min="1304" max="1304" width="20.33203125" style="66" customWidth="1"/>
    <col min="1305" max="1305" width="8.33203125" style="66" customWidth="1"/>
    <col min="1306" max="1306" width="28.5" style="66" bestFit="1" customWidth="1"/>
    <col min="1307" max="1537" width="11.5" style="66"/>
    <col min="1538" max="1538" width="4.6640625" style="66" customWidth="1"/>
    <col min="1539" max="1539" width="10.1640625" style="66" customWidth="1"/>
    <col min="1540" max="1540" width="51.1640625" style="66" customWidth="1"/>
    <col min="1541" max="1544" width="17.6640625" style="66" customWidth="1"/>
    <col min="1545" max="1547" width="17.83203125" style="66" customWidth="1"/>
    <col min="1548" max="1548" width="0" style="66" hidden="1" customWidth="1"/>
    <col min="1549" max="1549" width="17.83203125" style="66" customWidth="1"/>
    <col min="1550" max="1550" width="22.83203125" style="66" customWidth="1"/>
    <col min="1551" max="1553" width="17.83203125" style="66" customWidth="1"/>
    <col min="1554" max="1554" width="15.6640625" style="66" customWidth="1"/>
    <col min="1555" max="1555" width="22.33203125" style="66" customWidth="1"/>
    <col min="1556" max="1558" width="17.83203125" style="66" customWidth="1"/>
    <col min="1559" max="1559" width="22.6640625" style="66" customWidth="1"/>
    <col min="1560" max="1560" width="20.33203125" style="66" customWidth="1"/>
    <col min="1561" max="1561" width="8.33203125" style="66" customWidth="1"/>
    <col min="1562" max="1562" width="28.5" style="66" bestFit="1" customWidth="1"/>
    <col min="1563" max="1793" width="11.5" style="66"/>
    <col min="1794" max="1794" width="4.6640625" style="66" customWidth="1"/>
    <col min="1795" max="1795" width="10.1640625" style="66" customWidth="1"/>
    <col min="1796" max="1796" width="51.1640625" style="66" customWidth="1"/>
    <col min="1797" max="1800" width="17.6640625" style="66" customWidth="1"/>
    <col min="1801" max="1803" width="17.83203125" style="66" customWidth="1"/>
    <col min="1804" max="1804" width="0" style="66" hidden="1" customWidth="1"/>
    <col min="1805" max="1805" width="17.83203125" style="66" customWidth="1"/>
    <col min="1806" max="1806" width="22.83203125" style="66" customWidth="1"/>
    <col min="1807" max="1809" width="17.83203125" style="66" customWidth="1"/>
    <col min="1810" max="1810" width="15.6640625" style="66" customWidth="1"/>
    <col min="1811" max="1811" width="22.33203125" style="66" customWidth="1"/>
    <col min="1812" max="1814" width="17.83203125" style="66" customWidth="1"/>
    <col min="1815" max="1815" width="22.6640625" style="66" customWidth="1"/>
    <col min="1816" max="1816" width="20.33203125" style="66" customWidth="1"/>
    <col min="1817" max="1817" width="8.33203125" style="66" customWidth="1"/>
    <col min="1818" max="1818" width="28.5" style="66" bestFit="1" customWidth="1"/>
    <col min="1819" max="2049" width="11.5" style="66"/>
    <col min="2050" max="2050" width="4.6640625" style="66" customWidth="1"/>
    <col min="2051" max="2051" width="10.1640625" style="66" customWidth="1"/>
    <col min="2052" max="2052" width="51.1640625" style="66" customWidth="1"/>
    <col min="2053" max="2056" width="17.6640625" style="66" customWidth="1"/>
    <col min="2057" max="2059" width="17.83203125" style="66" customWidth="1"/>
    <col min="2060" max="2060" width="0" style="66" hidden="1" customWidth="1"/>
    <col min="2061" max="2061" width="17.83203125" style="66" customWidth="1"/>
    <col min="2062" max="2062" width="22.83203125" style="66" customWidth="1"/>
    <col min="2063" max="2065" width="17.83203125" style="66" customWidth="1"/>
    <col min="2066" max="2066" width="15.6640625" style="66" customWidth="1"/>
    <col min="2067" max="2067" width="22.33203125" style="66" customWidth="1"/>
    <col min="2068" max="2070" width="17.83203125" style="66" customWidth="1"/>
    <col min="2071" max="2071" width="22.6640625" style="66" customWidth="1"/>
    <col min="2072" max="2072" width="20.33203125" style="66" customWidth="1"/>
    <col min="2073" max="2073" width="8.33203125" style="66" customWidth="1"/>
    <col min="2074" max="2074" width="28.5" style="66" bestFit="1" customWidth="1"/>
    <col min="2075" max="2305" width="11.5" style="66"/>
    <col min="2306" max="2306" width="4.6640625" style="66" customWidth="1"/>
    <col min="2307" max="2307" width="10.1640625" style="66" customWidth="1"/>
    <col min="2308" max="2308" width="51.1640625" style="66" customWidth="1"/>
    <col min="2309" max="2312" width="17.6640625" style="66" customWidth="1"/>
    <col min="2313" max="2315" width="17.83203125" style="66" customWidth="1"/>
    <col min="2316" max="2316" width="0" style="66" hidden="1" customWidth="1"/>
    <col min="2317" max="2317" width="17.83203125" style="66" customWidth="1"/>
    <col min="2318" max="2318" width="22.83203125" style="66" customWidth="1"/>
    <col min="2319" max="2321" width="17.83203125" style="66" customWidth="1"/>
    <col min="2322" max="2322" width="15.6640625" style="66" customWidth="1"/>
    <col min="2323" max="2323" width="22.33203125" style="66" customWidth="1"/>
    <col min="2324" max="2326" width="17.83203125" style="66" customWidth="1"/>
    <col min="2327" max="2327" width="22.6640625" style="66" customWidth="1"/>
    <col min="2328" max="2328" width="20.33203125" style="66" customWidth="1"/>
    <col min="2329" max="2329" width="8.33203125" style="66" customWidth="1"/>
    <col min="2330" max="2330" width="28.5" style="66" bestFit="1" customWidth="1"/>
    <col min="2331" max="2561" width="11.5" style="66"/>
    <col min="2562" max="2562" width="4.6640625" style="66" customWidth="1"/>
    <col min="2563" max="2563" width="10.1640625" style="66" customWidth="1"/>
    <col min="2564" max="2564" width="51.1640625" style="66" customWidth="1"/>
    <col min="2565" max="2568" width="17.6640625" style="66" customWidth="1"/>
    <col min="2569" max="2571" width="17.83203125" style="66" customWidth="1"/>
    <col min="2572" max="2572" width="0" style="66" hidden="1" customWidth="1"/>
    <col min="2573" max="2573" width="17.83203125" style="66" customWidth="1"/>
    <col min="2574" max="2574" width="22.83203125" style="66" customWidth="1"/>
    <col min="2575" max="2577" width="17.83203125" style="66" customWidth="1"/>
    <col min="2578" max="2578" width="15.6640625" style="66" customWidth="1"/>
    <col min="2579" max="2579" width="22.33203125" style="66" customWidth="1"/>
    <col min="2580" max="2582" width="17.83203125" style="66" customWidth="1"/>
    <col min="2583" max="2583" width="22.6640625" style="66" customWidth="1"/>
    <col min="2584" max="2584" width="20.33203125" style="66" customWidth="1"/>
    <col min="2585" max="2585" width="8.33203125" style="66" customWidth="1"/>
    <col min="2586" max="2586" width="28.5" style="66" bestFit="1" customWidth="1"/>
    <col min="2587" max="2817" width="11.5" style="66"/>
    <col min="2818" max="2818" width="4.6640625" style="66" customWidth="1"/>
    <col min="2819" max="2819" width="10.1640625" style="66" customWidth="1"/>
    <col min="2820" max="2820" width="51.1640625" style="66" customWidth="1"/>
    <col min="2821" max="2824" width="17.6640625" style="66" customWidth="1"/>
    <col min="2825" max="2827" width="17.83203125" style="66" customWidth="1"/>
    <col min="2828" max="2828" width="0" style="66" hidden="1" customWidth="1"/>
    <col min="2829" max="2829" width="17.83203125" style="66" customWidth="1"/>
    <col min="2830" max="2830" width="22.83203125" style="66" customWidth="1"/>
    <col min="2831" max="2833" width="17.83203125" style="66" customWidth="1"/>
    <col min="2834" max="2834" width="15.6640625" style="66" customWidth="1"/>
    <col min="2835" max="2835" width="22.33203125" style="66" customWidth="1"/>
    <col min="2836" max="2838" width="17.83203125" style="66" customWidth="1"/>
    <col min="2839" max="2839" width="22.6640625" style="66" customWidth="1"/>
    <col min="2840" max="2840" width="20.33203125" style="66" customWidth="1"/>
    <col min="2841" max="2841" width="8.33203125" style="66" customWidth="1"/>
    <col min="2842" max="2842" width="28.5" style="66" bestFit="1" customWidth="1"/>
    <col min="2843" max="3073" width="11.5" style="66"/>
    <col min="3074" max="3074" width="4.6640625" style="66" customWidth="1"/>
    <col min="3075" max="3075" width="10.1640625" style="66" customWidth="1"/>
    <col min="3076" max="3076" width="51.1640625" style="66" customWidth="1"/>
    <col min="3077" max="3080" width="17.6640625" style="66" customWidth="1"/>
    <col min="3081" max="3083" width="17.83203125" style="66" customWidth="1"/>
    <col min="3084" max="3084" width="0" style="66" hidden="1" customWidth="1"/>
    <col min="3085" max="3085" width="17.83203125" style="66" customWidth="1"/>
    <col min="3086" max="3086" width="22.83203125" style="66" customWidth="1"/>
    <col min="3087" max="3089" width="17.83203125" style="66" customWidth="1"/>
    <col min="3090" max="3090" width="15.6640625" style="66" customWidth="1"/>
    <col min="3091" max="3091" width="22.33203125" style="66" customWidth="1"/>
    <col min="3092" max="3094" width="17.83203125" style="66" customWidth="1"/>
    <col min="3095" max="3095" width="22.6640625" style="66" customWidth="1"/>
    <col min="3096" max="3096" width="20.33203125" style="66" customWidth="1"/>
    <col min="3097" max="3097" width="8.33203125" style="66" customWidth="1"/>
    <col min="3098" max="3098" width="28.5" style="66" bestFit="1" customWidth="1"/>
    <col min="3099" max="3329" width="11.5" style="66"/>
    <col min="3330" max="3330" width="4.6640625" style="66" customWidth="1"/>
    <col min="3331" max="3331" width="10.1640625" style="66" customWidth="1"/>
    <col min="3332" max="3332" width="51.1640625" style="66" customWidth="1"/>
    <col min="3333" max="3336" width="17.6640625" style="66" customWidth="1"/>
    <col min="3337" max="3339" width="17.83203125" style="66" customWidth="1"/>
    <col min="3340" max="3340" width="0" style="66" hidden="1" customWidth="1"/>
    <col min="3341" max="3341" width="17.83203125" style="66" customWidth="1"/>
    <col min="3342" max="3342" width="22.83203125" style="66" customWidth="1"/>
    <col min="3343" max="3345" width="17.83203125" style="66" customWidth="1"/>
    <col min="3346" max="3346" width="15.6640625" style="66" customWidth="1"/>
    <col min="3347" max="3347" width="22.33203125" style="66" customWidth="1"/>
    <col min="3348" max="3350" width="17.83203125" style="66" customWidth="1"/>
    <col min="3351" max="3351" width="22.6640625" style="66" customWidth="1"/>
    <col min="3352" max="3352" width="20.33203125" style="66" customWidth="1"/>
    <col min="3353" max="3353" width="8.33203125" style="66" customWidth="1"/>
    <col min="3354" max="3354" width="28.5" style="66" bestFit="1" customWidth="1"/>
    <col min="3355" max="3585" width="11.5" style="66"/>
    <col min="3586" max="3586" width="4.6640625" style="66" customWidth="1"/>
    <col min="3587" max="3587" width="10.1640625" style="66" customWidth="1"/>
    <col min="3588" max="3588" width="51.1640625" style="66" customWidth="1"/>
    <col min="3589" max="3592" width="17.6640625" style="66" customWidth="1"/>
    <col min="3593" max="3595" width="17.83203125" style="66" customWidth="1"/>
    <col min="3596" max="3596" width="0" style="66" hidden="1" customWidth="1"/>
    <col min="3597" max="3597" width="17.83203125" style="66" customWidth="1"/>
    <col min="3598" max="3598" width="22.83203125" style="66" customWidth="1"/>
    <col min="3599" max="3601" width="17.83203125" style="66" customWidth="1"/>
    <col min="3602" max="3602" width="15.6640625" style="66" customWidth="1"/>
    <col min="3603" max="3603" width="22.33203125" style="66" customWidth="1"/>
    <col min="3604" max="3606" width="17.83203125" style="66" customWidth="1"/>
    <col min="3607" max="3607" width="22.6640625" style="66" customWidth="1"/>
    <col min="3608" max="3608" width="20.33203125" style="66" customWidth="1"/>
    <col min="3609" max="3609" width="8.33203125" style="66" customWidth="1"/>
    <col min="3610" max="3610" width="28.5" style="66" bestFit="1" customWidth="1"/>
    <col min="3611" max="3841" width="11.5" style="66"/>
    <col min="3842" max="3842" width="4.6640625" style="66" customWidth="1"/>
    <col min="3843" max="3843" width="10.1640625" style="66" customWidth="1"/>
    <col min="3844" max="3844" width="51.1640625" style="66" customWidth="1"/>
    <col min="3845" max="3848" width="17.6640625" style="66" customWidth="1"/>
    <col min="3849" max="3851" width="17.83203125" style="66" customWidth="1"/>
    <col min="3852" max="3852" width="0" style="66" hidden="1" customWidth="1"/>
    <col min="3853" max="3853" width="17.83203125" style="66" customWidth="1"/>
    <col min="3854" max="3854" width="22.83203125" style="66" customWidth="1"/>
    <col min="3855" max="3857" width="17.83203125" style="66" customWidth="1"/>
    <col min="3858" max="3858" width="15.6640625" style="66" customWidth="1"/>
    <col min="3859" max="3859" width="22.33203125" style="66" customWidth="1"/>
    <col min="3860" max="3862" width="17.83203125" style="66" customWidth="1"/>
    <col min="3863" max="3863" width="22.6640625" style="66" customWidth="1"/>
    <col min="3864" max="3864" width="20.33203125" style="66" customWidth="1"/>
    <col min="3865" max="3865" width="8.33203125" style="66" customWidth="1"/>
    <col min="3866" max="3866" width="28.5" style="66" bestFit="1" customWidth="1"/>
    <col min="3867" max="4097" width="11.5" style="66"/>
    <col min="4098" max="4098" width="4.6640625" style="66" customWidth="1"/>
    <col min="4099" max="4099" width="10.1640625" style="66" customWidth="1"/>
    <col min="4100" max="4100" width="51.1640625" style="66" customWidth="1"/>
    <col min="4101" max="4104" width="17.6640625" style="66" customWidth="1"/>
    <col min="4105" max="4107" width="17.83203125" style="66" customWidth="1"/>
    <col min="4108" max="4108" width="0" style="66" hidden="1" customWidth="1"/>
    <col min="4109" max="4109" width="17.83203125" style="66" customWidth="1"/>
    <col min="4110" max="4110" width="22.83203125" style="66" customWidth="1"/>
    <col min="4111" max="4113" width="17.83203125" style="66" customWidth="1"/>
    <col min="4114" max="4114" width="15.6640625" style="66" customWidth="1"/>
    <col min="4115" max="4115" width="22.33203125" style="66" customWidth="1"/>
    <col min="4116" max="4118" width="17.83203125" style="66" customWidth="1"/>
    <col min="4119" max="4119" width="22.6640625" style="66" customWidth="1"/>
    <col min="4120" max="4120" width="20.33203125" style="66" customWidth="1"/>
    <col min="4121" max="4121" width="8.33203125" style="66" customWidth="1"/>
    <col min="4122" max="4122" width="28.5" style="66" bestFit="1" customWidth="1"/>
    <col min="4123" max="4353" width="11.5" style="66"/>
    <col min="4354" max="4354" width="4.6640625" style="66" customWidth="1"/>
    <col min="4355" max="4355" width="10.1640625" style="66" customWidth="1"/>
    <col min="4356" max="4356" width="51.1640625" style="66" customWidth="1"/>
    <col min="4357" max="4360" width="17.6640625" style="66" customWidth="1"/>
    <col min="4361" max="4363" width="17.83203125" style="66" customWidth="1"/>
    <col min="4364" max="4364" width="0" style="66" hidden="1" customWidth="1"/>
    <col min="4365" max="4365" width="17.83203125" style="66" customWidth="1"/>
    <col min="4366" max="4366" width="22.83203125" style="66" customWidth="1"/>
    <col min="4367" max="4369" width="17.83203125" style="66" customWidth="1"/>
    <col min="4370" max="4370" width="15.6640625" style="66" customWidth="1"/>
    <col min="4371" max="4371" width="22.33203125" style="66" customWidth="1"/>
    <col min="4372" max="4374" width="17.83203125" style="66" customWidth="1"/>
    <col min="4375" max="4375" width="22.6640625" style="66" customWidth="1"/>
    <col min="4376" max="4376" width="20.33203125" style="66" customWidth="1"/>
    <col min="4377" max="4377" width="8.33203125" style="66" customWidth="1"/>
    <col min="4378" max="4378" width="28.5" style="66" bestFit="1" customWidth="1"/>
    <col min="4379" max="4609" width="11.5" style="66"/>
    <col min="4610" max="4610" width="4.6640625" style="66" customWidth="1"/>
    <col min="4611" max="4611" width="10.1640625" style="66" customWidth="1"/>
    <col min="4612" max="4612" width="51.1640625" style="66" customWidth="1"/>
    <col min="4613" max="4616" width="17.6640625" style="66" customWidth="1"/>
    <col min="4617" max="4619" width="17.83203125" style="66" customWidth="1"/>
    <col min="4620" max="4620" width="0" style="66" hidden="1" customWidth="1"/>
    <col min="4621" max="4621" width="17.83203125" style="66" customWidth="1"/>
    <col min="4622" max="4622" width="22.83203125" style="66" customWidth="1"/>
    <col min="4623" max="4625" width="17.83203125" style="66" customWidth="1"/>
    <col min="4626" max="4626" width="15.6640625" style="66" customWidth="1"/>
    <col min="4627" max="4627" width="22.33203125" style="66" customWidth="1"/>
    <col min="4628" max="4630" width="17.83203125" style="66" customWidth="1"/>
    <col min="4631" max="4631" width="22.6640625" style="66" customWidth="1"/>
    <col min="4632" max="4632" width="20.33203125" style="66" customWidth="1"/>
    <col min="4633" max="4633" width="8.33203125" style="66" customWidth="1"/>
    <col min="4634" max="4634" width="28.5" style="66" bestFit="1" customWidth="1"/>
    <col min="4635" max="4865" width="11.5" style="66"/>
    <col min="4866" max="4866" width="4.6640625" style="66" customWidth="1"/>
    <col min="4867" max="4867" width="10.1640625" style="66" customWidth="1"/>
    <col min="4868" max="4868" width="51.1640625" style="66" customWidth="1"/>
    <col min="4869" max="4872" width="17.6640625" style="66" customWidth="1"/>
    <col min="4873" max="4875" width="17.83203125" style="66" customWidth="1"/>
    <col min="4876" max="4876" width="0" style="66" hidden="1" customWidth="1"/>
    <col min="4877" max="4877" width="17.83203125" style="66" customWidth="1"/>
    <col min="4878" max="4878" width="22.83203125" style="66" customWidth="1"/>
    <col min="4879" max="4881" width="17.83203125" style="66" customWidth="1"/>
    <col min="4882" max="4882" width="15.6640625" style="66" customWidth="1"/>
    <col min="4883" max="4883" width="22.33203125" style="66" customWidth="1"/>
    <col min="4884" max="4886" width="17.83203125" style="66" customWidth="1"/>
    <col min="4887" max="4887" width="22.6640625" style="66" customWidth="1"/>
    <col min="4888" max="4888" width="20.33203125" style="66" customWidth="1"/>
    <col min="4889" max="4889" width="8.33203125" style="66" customWidth="1"/>
    <col min="4890" max="4890" width="28.5" style="66" bestFit="1" customWidth="1"/>
    <col min="4891" max="5121" width="11.5" style="66"/>
    <col min="5122" max="5122" width="4.6640625" style="66" customWidth="1"/>
    <col min="5123" max="5123" width="10.1640625" style="66" customWidth="1"/>
    <col min="5124" max="5124" width="51.1640625" style="66" customWidth="1"/>
    <col min="5125" max="5128" width="17.6640625" style="66" customWidth="1"/>
    <col min="5129" max="5131" width="17.83203125" style="66" customWidth="1"/>
    <col min="5132" max="5132" width="0" style="66" hidden="1" customWidth="1"/>
    <col min="5133" max="5133" width="17.83203125" style="66" customWidth="1"/>
    <col min="5134" max="5134" width="22.83203125" style="66" customWidth="1"/>
    <col min="5135" max="5137" width="17.83203125" style="66" customWidth="1"/>
    <col min="5138" max="5138" width="15.6640625" style="66" customWidth="1"/>
    <col min="5139" max="5139" width="22.33203125" style="66" customWidth="1"/>
    <col min="5140" max="5142" width="17.83203125" style="66" customWidth="1"/>
    <col min="5143" max="5143" width="22.6640625" style="66" customWidth="1"/>
    <col min="5144" max="5144" width="20.33203125" style="66" customWidth="1"/>
    <col min="5145" max="5145" width="8.33203125" style="66" customWidth="1"/>
    <col min="5146" max="5146" width="28.5" style="66" bestFit="1" customWidth="1"/>
    <col min="5147" max="5377" width="11.5" style="66"/>
    <col min="5378" max="5378" width="4.6640625" style="66" customWidth="1"/>
    <col min="5379" max="5379" width="10.1640625" style="66" customWidth="1"/>
    <col min="5380" max="5380" width="51.1640625" style="66" customWidth="1"/>
    <col min="5381" max="5384" width="17.6640625" style="66" customWidth="1"/>
    <col min="5385" max="5387" width="17.83203125" style="66" customWidth="1"/>
    <col min="5388" max="5388" width="0" style="66" hidden="1" customWidth="1"/>
    <col min="5389" max="5389" width="17.83203125" style="66" customWidth="1"/>
    <col min="5390" max="5390" width="22.83203125" style="66" customWidth="1"/>
    <col min="5391" max="5393" width="17.83203125" style="66" customWidth="1"/>
    <col min="5394" max="5394" width="15.6640625" style="66" customWidth="1"/>
    <col min="5395" max="5395" width="22.33203125" style="66" customWidth="1"/>
    <col min="5396" max="5398" width="17.83203125" style="66" customWidth="1"/>
    <col min="5399" max="5399" width="22.6640625" style="66" customWidth="1"/>
    <col min="5400" max="5400" width="20.33203125" style="66" customWidth="1"/>
    <col min="5401" max="5401" width="8.33203125" style="66" customWidth="1"/>
    <col min="5402" max="5402" width="28.5" style="66" bestFit="1" customWidth="1"/>
    <col min="5403" max="5633" width="11.5" style="66"/>
    <col min="5634" max="5634" width="4.6640625" style="66" customWidth="1"/>
    <col min="5635" max="5635" width="10.1640625" style="66" customWidth="1"/>
    <col min="5636" max="5636" width="51.1640625" style="66" customWidth="1"/>
    <col min="5637" max="5640" width="17.6640625" style="66" customWidth="1"/>
    <col min="5641" max="5643" width="17.83203125" style="66" customWidth="1"/>
    <col min="5644" max="5644" width="0" style="66" hidden="1" customWidth="1"/>
    <col min="5645" max="5645" width="17.83203125" style="66" customWidth="1"/>
    <col min="5646" max="5646" width="22.83203125" style="66" customWidth="1"/>
    <col min="5647" max="5649" width="17.83203125" style="66" customWidth="1"/>
    <col min="5650" max="5650" width="15.6640625" style="66" customWidth="1"/>
    <col min="5651" max="5651" width="22.33203125" style="66" customWidth="1"/>
    <col min="5652" max="5654" width="17.83203125" style="66" customWidth="1"/>
    <col min="5655" max="5655" width="22.6640625" style="66" customWidth="1"/>
    <col min="5656" max="5656" width="20.33203125" style="66" customWidth="1"/>
    <col min="5657" max="5657" width="8.33203125" style="66" customWidth="1"/>
    <col min="5658" max="5658" width="28.5" style="66" bestFit="1" customWidth="1"/>
    <col min="5659" max="5889" width="11.5" style="66"/>
    <col min="5890" max="5890" width="4.6640625" style="66" customWidth="1"/>
    <col min="5891" max="5891" width="10.1640625" style="66" customWidth="1"/>
    <col min="5892" max="5892" width="51.1640625" style="66" customWidth="1"/>
    <col min="5893" max="5896" width="17.6640625" style="66" customWidth="1"/>
    <col min="5897" max="5899" width="17.83203125" style="66" customWidth="1"/>
    <col min="5900" max="5900" width="0" style="66" hidden="1" customWidth="1"/>
    <col min="5901" max="5901" width="17.83203125" style="66" customWidth="1"/>
    <col min="5902" max="5902" width="22.83203125" style="66" customWidth="1"/>
    <col min="5903" max="5905" width="17.83203125" style="66" customWidth="1"/>
    <col min="5906" max="5906" width="15.6640625" style="66" customWidth="1"/>
    <col min="5907" max="5907" width="22.33203125" style="66" customWidth="1"/>
    <col min="5908" max="5910" width="17.83203125" style="66" customWidth="1"/>
    <col min="5911" max="5911" width="22.6640625" style="66" customWidth="1"/>
    <col min="5912" max="5912" width="20.33203125" style="66" customWidth="1"/>
    <col min="5913" max="5913" width="8.33203125" style="66" customWidth="1"/>
    <col min="5914" max="5914" width="28.5" style="66" bestFit="1" customWidth="1"/>
    <col min="5915" max="6145" width="11.5" style="66"/>
    <col min="6146" max="6146" width="4.6640625" style="66" customWidth="1"/>
    <col min="6147" max="6147" width="10.1640625" style="66" customWidth="1"/>
    <col min="6148" max="6148" width="51.1640625" style="66" customWidth="1"/>
    <col min="6149" max="6152" width="17.6640625" style="66" customWidth="1"/>
    <col min="6153" max="6155" width="17.83203125" style="66" customWidth="1"/>
    <col min="6156" max="6156" width="0" style="66" hidden="1" customWidth="1"/>
    <col min="6157" max="6157" width="17.83203125" style="66" customWidth="1"/>
    <col min="6158" max="6158" width="22.83203125" style="66" customWidth="1"/>
    <col min="6159" max="6161" width="17.83203125" style="66" customWidth="1"/>
    <col min="6162" max="6162" width="15.6640625" style="66" customWidth="1"/>
    <col min="6163" max="6163" width="22.33203125" style="66" customWidth="1"/>
    <col min="6164" max="6166" width="17.83203125" style="66" customWidth="1"/>
    <col min="6167" max="6167" width="22.6640625" style="66" customWidth="1"/>
    <col min="6168" max="6168" width="20.33203125" style="66" customWidth="1"/>
    <col min="6169" max="6169" width="8.33203125" style="66" customWidth="1"/>
    <col min="6170" max="6170" width="28.5" style="66" bestFit="1" customWidth="1"/>
    <col min="6171" max="6401" width="11.5" style="66"/>
    <col min="6402" max="6402" width="4.6640625" style="66" customWidth="1"/>
    <col min="6403" max="6403" width="10.1640625" style="66" customWidth="1"/>
    <col min="6404" max="6404" width="51.1640625" style="66" customWidth="1"/>
    <col min="6405" max="6408" width="17.6640625" style="66" customWidth="1"/>
    <col min="6409" max="6411" width="17.83203125" style="66" customWidth="1"/>
    <col min="6412" max="6412" width="0" style="66" hidden="1" customWidth="1"/>
    <col min="6413" max="6413" width="17.83203125" style="66" customWidth="1"/>
    <col min="6414" max="6414" width="22.83203125" style="66" customWidth="1"/>
    <col min="6415" max="6417" width="17.83203125" style="66" customWidth="1"/>
    <col min="6418" max="6418" width="15.6640625" style="66" customWidth="1"/>
    <col min="6419" max="6419" width="22.33203125" style="66" customWidth="1"/>
    <col min="6420" max="6422" width="17.83203125" style="66" customWidth="1"/>
    <col min="6423" max="6423" width="22.6640625" style="66" customWidth="1"/>
    <col min="6424" max="6424" width="20.33203125" style="66" customWidth="1"/>
    <col min="6425" max="6425" width="8.33203125" style="66" customWidth="1"/>
    <col min="6426" max="6426" width="28.5" style="66" bestFit="1" customWidth="1"/>
    <col min="6427" max="6657" width="11.5" style="66"/>
    <col min="6658" max="6658" width="4.6640625" style="66" customWidth="1"/>
    <col min="6659" max="6659" width="10.1640625" style="66" customWidth="1"/>
    <col min="6660" max="6660" width="51.1640625" style="66" customWidth="1"/>
    <col min="6661" max="6664" width="17.6640625" style="66" customWidth="1"/>
    <col min="6665" max="6667" width="17.83203125" style="66" customWidth="1"/>
    <col min="6668" max="6668" width="0" style="66" hidden="1" customWidth="1"/>
    <col min="6669" max="6669" width="17.83203125" style="66" customWidth="1"/>
    <col min="6670" max="6670" width="22.83203125" style="66" customWidth="1"/>
    <col min="6671" max="6673" width="17.83203125" style="66" customWidth="1"/>
    <col min="6674" max="6674" width="15.6640625" style="66" customWidth="1"/>
    <col min="6675" max="6675" width="22.33203125" style="66" customWidth="1"/>
    <col min="6676" max="6678" width="17.83203125" style="66" customWidth="1"/>
    <col min="6679" max="6679" width="22.6640625" style="66" customWidth="1"/>
    <col min="6680" max="6680" width="20.33203125" style="66" customWidth="1"/>
    <col min="6681" max="6681" width="8.33203125" style="66" customWidth="1"/>
    <col min="6682" max="6682" width="28.5" style="66" bestFit="1" customWidth="1"/>
    <col min="6683" max="6913" width="11.5" style="66"/>
    <col min="6914" max="6914" width="4.6640625" style="66" customWidth="1"/>
    <col min="6915" max="6915" width="10.1640625" style="66" customWidth="1"/>
    <col min="6916" max="6916" width="51.1640625" style="66" customWidth="1"/>
    <col min="6917" max="6920" width="17.6640625" style="66" customWidth="1"/>
    <col min="6921" max="6923" width="17.83203125" style="66" customWidth="1"/>
    <col min="6924" max="6924" width="0" style="66" hidden="1" customWidth="1"/>
    <col min="6925" max="6925" width="17.83203125" style="66" customWidth="1"/>
    <col min="6926" max="6926" width="22.83203125" style="66" customWidth="1"/>
    <col min="6927" max="6929" width="17.83203125" style="66" customWidth="1"/>
    <col min="6930" max="6930" width="15.6640625" style="66" customWidth="1"/>
    <col min="6931" max="6931" width="22.33203125" style="66" customWidth="1"/>
    <col min="6932" max="6934" width="17.83203125" style="66" customWidth="1"/>
    <col min="6935" max="6935" width="22.6640625" style="66" customWidth="1"/>
    <col min="6936" max="6936" width="20.33203125" style="66" customWidth="1"/>
    <col min="6937" max="6937" width="8.33203125" style="66" customWidth="1"/>
    <col min="6938" max="6938" width="28.5" style="66" bestFit="1" customWidth="1"/>
    <col min="6939" max="7169" width="11.5" style="66"/>
    <col min="7170" max="7170" width="4.6640625" style="66" customWidth="1"/>
    <col min="7171" max="7171" width="10.1640625" style="66" customWidth="1"/>
    <col min="7172" max="7172" width="51.1640625" style="66" customWidth="1"/>
    <col min="7173" max="7176" width="17.6640625" style="66" customWidth="1"/>
    <col min="7177" max="7179" width="17.83203125" style="66" customWidth="1"/>
    <col min="7180" max="7180" width="0" style="66" hidden="1" customWidth="1"/>
    <col min="7181" max="7181" width="17.83203125" style="66" customWidth="1"/>
    <col min="7182" max="7182" width="22.83203125" style="66" customWidth="1"/>
    <col min="7183" max="7185" width="17.83203125" style="66" customWidth="1"/>
    <col min="7186" max="7186" width="15.6640625" style="66" customWidth="1"/>
    <col min="7187" max="7187" width="22.33203125" style="66" customWidth="1"/>
    <col min="7188" max="7190" width="17.83203125" style="66" customWidth="1"/>
    <col min="7191" max="7191" width="22.6640625" style="66" customWidth="1"/>
    <col min="7192" max="7192" width="20.33203125" style="66" customWidth="1"/>
    <col min="7193" max="7193" width="8.33203125" style="66" customWidth="1"/>
    <col min="7194" max="7194" width="28.5" style="66" bestFit="1" customWidth="1"/>
    <col min="7195" max="7425" width="11.5" style="66"/>
    <col min="7426" max="7426" width="4.6640625" style="66" customWidth="1"/>
    <col min="7427" max="7427" width="10.1640625" style="66" customWidth="1"/>
    <col min="7428" max="7428" width="51.1640625" style="66" customWidth="1"/>
    <col min="7429" max="7432" width="17.6640625" style="66" customWidth="1"/>
    <col min="7433" max="7435" width="17.83203125" style="66" customWidth="1"/>
    <col min="7436" max="7436" width="0" style="66" hidden="1" customWidth="1"/>
    <col min="7437" max="7437" width="17.83203125" style="66" customWidth="1"/>
    <col min="7438" max="7438" width="22.83203125" style="66" customWidth="1"/>
    <col min="7439" max="7441" width="17.83203125" style="66" customWidth="1"/>
    <col min="7442" max="7442" width="15.6640625" style="66" customWidth="1"/>
    <col min="7443" max="7443" width="22.33203125" style="66" customWidth="1"/>
    <col min="7444" max="7446" width="17.83203125" style="66" customWidth="1"/>
    <col min="7447" max="7447" width="22.6640625" style="66" customWidth="1"/>
    <col min="7448" max="7448" width="20.33203125" style="66" customWidth="1"/>
    <col min="7449" max="7449" width="8.33203125" style="66" customWidth="1"/>
    <col min="7450" max="7450" width="28.5" style="66" bestFit="1" customWidth="1"/>
    <col min="7451" max="7681" width="11.5" style="66"/>
    <col min="7682" max="7682" width="4.6640625" style="66" customWidth="1"/>
    <col min="7683" max="7683" width="10.1640625" style="66" customWidth="1"/>
    <col min="7684" max="7684" width="51.1640625" style="66" customWidth="1"/>
    <col min="7685" max="7688" width="17.6640625" style="66" customWidth="1"/>
    <col min="7689" max="7691" width="17.83203125" style="66" customWidth="1"/>
    <col min="7692" max="7692" width="0" style="66" hidden="1" customWidth="1"/>
    <col min="7693" max="7693" width="17.83203125" style="66" customWidth="1"/>
    <col min="7694" max="7694" width="22.83203125" style="66" customWidth="1"/>
    <col min="7695" max="7697" width="17.83203125" style="66" customWidth="1"/>
    <col min="7698" max="7698" width="15.6640625" style="66" customWidth="1"/>
    <col min="7699" max="7699" width="22.33203125" style="66" customWidth="1"/>
    <col min="7700" max="7702" width="17.83203125" style="66" customWidth="1"/>
    <col min="7703" max="7703" width="22.6640625" style="66" customWidth="1"/>
    <col min="7704" max="7704" width="20.33203125" style="66" customWidth="1"/>
    <col min="7705" max="7705" width="8.33203125" style="66" customWidth="1"/>
    <col min="7706" max="7706" width="28.5" style="66" bestFit="1" customWidth="1"/>
    <col min="7707" max="7937" width="11.5" style="66"/>
    <col min="7938" max="7938" width="4.6640625" style="66" customWidth="1"/>
    <col min="7939" max="7939" width="10.1640625" style="66" customWidth="1"/>
    <col min="7940" max="7940" width="51.1640625" style="66" customWidth="1"/>
    <col min="7941" max="7944" width="17.6640625" style="66" customWidth="1"/>
    <col min="7945" max="7947" width="17.83203125" style="66" customWidth="1"/>
    <col min="7948" max="7948" width="0" style="66" hidden="1" customWidth="1"/>
    <col min="7949" max="7949" width="17.83203125" style="66" customWidth="1"/>
    <col min="7950" max="7950" width="22.83203125" style="66" customWidth="1"/>
    <col min="7951" max="7953" width="17.83203125" style="66" customWidth="1"/>
    <col min="7954" max="7954" width="15.6640625" style="66" customWidth="1"/>
    <col min="7955" max="7955" width="22.33203125" style="66" customWidth="1"/>
    <col min="7956" max="7958" width="17.83203125" style="66" customWidth="1"/>
    <col min="7959" max="7959" width="22.6640625" style="66" customWidth="1"/>
    <col min="7960" max="7960" width="20.33203125" style="66" customWidth="1"/>
    <col min="7961" max="7961" width="8.33203125" style="66" customWidth="1"/>
    <col min="7962" max="7962" width="28.5" style="66" bestFit="1" customWidth="1"/>
    <col min="7963" max="8193" width="11.5" style="66"/>
    <col min="8194" max="8194" width="4.6640625" style="66" customWidth="1"/>
    <col min="8195" max="8195" width="10.1640625" style="66" customWidth="1"/>
    <col min="8196" max="8196" width="51.1640625" style="66" customWidth="1"/>
    <col min="8197" max="8200" width="17.6640625" style="66" customWidth="1"/>
    <col min="8201" max="8203" width="17.83203125" style="66" customWidth="1"/>
    <col min="8204" max="8204" width="0" style="66" hidden="1" customWidth="1"/>
    <col min="8205" max="8205" width="17.83203125" style="66" customWidth="1"/>
    <col min="8206" max="8206" width="22.83203125" style="66" customWidth="1"/>
    <col min="8207" max="8209" width="17.83203125" style="66" customWidth="1"/>
    <col min="8210" max="8210" width="15.6640625" style="66" customWidth="1"/>
    <col min="8211" max="8211" width="22.33203125" style="66" customWidth="1"/>
    <col min="8212" max="8214" width="17.83203125" style="66" customWidth="1"/>
    <col min="8215" max="8215" width="22.6640625" style="66" customWidth="1"/>
    <col min="8216" max="8216" width="20.33203125" style="66" customWidth="1"/>
    <col min="8217" max="8217" width="8.33203125" style="66" customWidth="1"/>
    <col min="8218" max="8218" width="28.5" style="66" bestFit="1" customWidth="1"/>
    <col min="8219" max="8449" width="11.5" style="66"/>
    <col min="8450" max="8450" width="4.6640625" style="66" customWidth="1"/>
    <col min="8451" max="8451" width="10.1640625" style="66" customWidth="1"/>
    <col min="8452" max="8452" width="51.1640625" style="66" customWidth="1"/>
    <col min="8453" max="8456" width="17.6640625" style="66" customWidth="1"/>
    <col min="8457" max="8459" width="17.83203125" style="66" customWidth="1"/>
    <col min="8460" max="8460" width="0" style="66" hidden="1" customWidth="1"/>
    <col min="8461" max="8461" width="17.83203125" style="66" customWidth="1"/>
    <col min="8462" max="8462" width="22.83203125" style="66" customWidth="1"/>
    <col min="8463" max="8465" width="17.83203125" style="66" customWidth="1"/>
    <col min="8466" max="8466" width="15.6640625" style="66" customWidth="1"/>
    <col min="8467" max="8467" width="22.33203125" style="66" customWidth="1"/>
    <col min="8468" max="8470" width="17.83203125" style="66" customWidth="1"/>
    <col min="8471" max="8471" width="22.6640625" style="66" customWidth="1"/>
    <col min="8472" max="8472" width="20.33203125" style="66" customWidth="1"/>
    <col min="8473" max="8473" width="8.33203125" style="66" customWidth="1"/>
    <col min="8474" max="8474" width="28.5" style="66" bestFit="1" customWidth="1"/>
    <col min="8475" max="8705" width="11.5" style="66"/>
    <col min="8706" max="8706" width="4.6640625" style="66" customWidth="1"/>
    <col min="8707" max="8707" width="10.1640625" style="66" customWidth="1"/>
    <col min="8708" max="8708" width="51.1640625" style="66" customWidth="1"/>
    <col min="8709" max="8712" width="17.6640625" style="66" customWidth="1"/>
    <col min="8713" max="8715" width="17.83203125" style="66" customWidth="1"/>
    <col min="8716" max="8716" width="0" style="66" hidden="1" customWidth="1"/>
    <col min="8717" max="8717" width="17.83203125" style="66" customWidth="1"/>
    <col min="8718" max="8718" width="22.83203125" style="66" customWidth="1"/>
    <col min="8719" max="8721" width="17.83203125" style="66" customWidth="1"/>
    <col min="8722" max="8722" width="15.6640625" style="66" customWidth="1"/>
    <col min="8723" max="8723" width="22.33203125" style="66" customWidth="1"/>
    <col min="8724" max="8726" width="17.83203125" style="66" customWidth="1"/>
    <col min="8727" max="8727" width="22.6640625" style="66" customWidth="1"/>
    <col min="8728" max="8728" width="20.33203125" style="66" customWidth="1"/>
    <col min="8729" max="8729" width="8.33203125" style="66" customWidth="1"/>
    <col min="8730" max="8730" width="28.5" style="66" bestFit="1" customWidth="1"/>
    <col min="8731" max="8961" width="11.5" style="66"/>
    <col min="8962" max="8962" width="4.6640625" style="66" customWidth="1"/>
    <col min="8963" max="8963" width="10.1640625" style="66" customWidth="1"/>
    <col min="8964" max="8964" width="51.1640625" style="66" customWidth="1"/>
    <col min="8965" max="8968" width="17.6640625" style="66" customWidth="1"/>
    <col min="8969" max="8971" width="17.83203125" style="66" customWidth="1"/>
    <col min="8972" max="8972" width="0" style="66" hidden="1" customWidth="1"/>
    <col min="8973" max="8973" width="17.83203125" style="66" customWidth="1"/>
    <col min="8974" max="8974" width="22.83203125" style="66" customWidth="1"/>
    <col min="8975" max="8977" width="17.83203125" style="66" customWidth="1"/>
    <col min="8978" max="8978" width="15.6640625" style="66" customWidth="1"/>
    <col min="8979" max="8979" width="22.33203125" style="66" customWidth="1"/>
    <col min="8980" max="8982" width="17.83203125" style="66" customWidth="1"/>
    <col min="8983" max="8983" width="22.6640625" style="66" customWidth="1"/>
    <col min="8984" max="8984" width="20.33203125" style="66" customWidth="1"/>
    <col min="8985" max="8985" width="8.33203125" style="66" customWidth="1"/>
    <col min="8986" max="8986" width="28.5" style="66" bestFit="1" customWidth="1"/>
    <col min="8987" max="9217" width="11.5" style="66"/>
    <col min="9218" max="9218" width="4.6640625" style="66" customWidth="1"/>
    <col min="9219" max="9219" width="10.1640625" style="66" customWidth="1"/>
    <col min="9220" max="9220" width="51.1640625" style="66" customWidth="1"/>
    <col min="9221" max="9224" width="17.6640625" style="66" customWidth="1"/>
    <col min="9225" max="9227" width="17.83203125" style="66" customWidth="1"/>
    <col min="9228" max="9228" width="0" style="66" hidden="1" customWidth="1"/>
    <col min="9229" max="9229" width="17.83203125" style="66" customWidth="1"/>
    <col min="9230" max="9230" width="22.83203125" style="66" customWidth="1"/>
    <col min="9231" max="9233" width="17.83203125" style="66" customWidth="1"/>
    <col min="9234" max="9234" width="15.6640625" style="66" customWidth="1"/>
    <col min="9235" max="9235" width="22.33203125" style="66" customWidth="1"/>
    <col min="9236" max="9238" width="17.83203125" style="66" customWidth="1"/>
    <col min="9239" max="9239" width="22.6640625" style="66" customWidth="1"/>
    <col min="9240" max="9240" width="20.33203125" style="66" customWidth="1"/>
    <col min="9241" max="9241" width="8.33203125" style="66" customWidth="1"/>
    <col min="9242" max="9242" width="28.5" style="66" bestFit="1" customWidth="1"/>
    <col min="9243" max="9473" width="11.5" style="66"/>
    <col min="9474" max="9474" width="4.6640625" style="66" customWidth="1"/>
    <col min="9475" max="9475" width="10.1640625" style="66" customWidth="1"/>
    <col min="9476" max="9476" width="51.1640625" style="66" customWidth="1"/>
    <col min="9477" max="9480" width="17.6640625" style="66" customWidth="1"/>
    <col min="9481" max="9483" width="17.83203125" style="66" customWidth="1"/>
    <col min="9484" max="9484" width="0" style="66" hidden="1" customWidth="1"/>
    <col min="9485" max="9485" width="17.83203125" style="66" customWidth="1"/>
    <col min="9486" max="9486" width="22.83203125" style="66" customWidth="1"/>
    <col min="9487" max="9489" width="17.83203125" style="66" customWidth="1"/>
    <col min="9490" max="9490" width="15.6640625" style="66" customWidth="1"/>
    <col min="9491" max="9491" width="22.33203125" style="66" customWidth="1"/>
    <col min="9492" max="9494" width="17.83203125" style="66" customWidth="1"/>
    <col min="9495" max="9495" width="22.6640625" style="66" customWidth="1"/>
    <col min="9496" max="9496" width="20.33203125" style="66" customWidth="1"/>
    <col min="9497" max="9497" width="8.33203125" style="66" customWidth="1"/>
    <col min="9498" max="9498" width="28.5" style="66" bestFit="1" customWidth="1"/>
    <col min="9499" max="9729" width="11.5" style="66"/>
    <col min="9730" max="9730" width="4.6640625" style="66" customWidth="1"/>
    <col min="9731" max="9731" width="10.1640625" style="66" customWidth="1"/>
    <col min="9732" max="9732" width="51.1640625" style="66" customWidth="1"/>
    <col min="9733" max="9736" width="17.6640625" style="66" customWidth="1"/>
    <col min="9737" max="9739" width="17.83203125" style="66" customWidth="1"/>
    <col min="9740" max="9740" width="0" style="66" hidden="1" customWidth="1"/>
    <col min="9741" max="9741" width="17.83203125" style="66" customWidth="1"/>
    <col min="9742" max="9742" width="22.83203125" style="66" customWidth="1"/>
    <col min="9743" max="9745" width="17.83203125" style="66" customWidth="1"/>
    <col min="9746" max="9746" width="15.6640625" style="66" customWidth="1"/>
    <col min="9747" max="9747" width="22.33203125" style="66" customWidth="1"/>
    <col min="9748" max="9750" width="17.83203125" style="66" customWidth="1"/>
    <col min="9751" max="9751" width="22.6640625" style="66" customWidth="1"/>
    <col min="9752" max="9752" width="20.33203125" style="66" customWidth="1"/>
    <col min="9753" max="9753" width="8.33203125" style="66" customWidth="1"/>
    <col min="9754" max="9754" width="28.5" style="66" bestFit="1" customWidth="1"/>
    <col min="9755" max="9985" width="11.5" style="66"/>
    <col min="9986" max="9986" width="4.6640625" style="66" customWidth="1"/>
    <col min="9987" max="9987" width="10.1640625" style="66" customWidth="1"/>
    <col min="9988" max="9988" width="51.1640625" style="66" customWidth="1"/>
    <col min="9989" max="9992" width="17.6640625" style="66" customWidth="1"/>
    <col min="9993" max="9995" width="17.83203125" style="66" customWidth="1"/>
    <col min="9996" max="9996" width="0" style="66" hidden="1" customWidth="1"/>
    <col min="9997" max="9997" width="17.83203125" style="66" customWidth="1"/>
    <col min="9998" max="9998" width="22.83203125" style="66" customWidth="1"/>
    <col min="9999" max="10001" width="17.83203125" style="66" customWidth="1"/>
    <col min="10002" max="10002" width="15.6640625" style="66" customWidth="1"/>
    <col min="10003" max="10003" width="22.33203125" style="66" customWidth="1"/>
    <col min="10004" max="10006" width="17.83203125" style="66" customWidth="1"/>
    <col min="10007" max="10007" width="22.6640625" style="66" customWidth="1"/>
    <col min="10008" max="10008" width="20.33203125" style="66" customWidth="1"/>
    <col min="10009" max="10009" width="8.33203125" style="66" customWidth="1"/>
    <col min="10010" max="10010" width="28.5" style="66" bestFit="1" customWidth="1"/>
    <col min="10011" max="10241" width="11.5" style="66"/>
    <col min="10242" max="10242" width="4.6640625" style="66" customWidth="1"/>
    <col min="10243" max="10243" width="10.1640625" style="66" customWidth="1"/>
    <col min="10244" max="10244" width="51.1640625" style="66" customWidth="1"/>
    <col min="10245" max="10248" width="17.6640625" style="66" customWidth="1"/>
    <col min="10249" max="10251" width="17.83203125" style="66" customWidth="1"/>
    <col min="10252" max="10252" width="0" style="66" hidden="1" customWidth="1"/>
    <col min="10253" max="10253" width="17.83203125" style="66" customWidth="1"/>
    <col min="10254" max="10254" width="22.83203125" style="66" customWidth="1"/>
    <col min="10255" max="10257" width="17.83203125" style="66" customWidth="1"/>
    <col min="10258" max="10258" width="15.6640625" style="66" customWidth="1"/>
    <col min="10259" max="10259" width="22.33203125" style="66" customWidth="1"/>
    <col min="10260" max="10262" width="17.83203125" style="66" customWidth="1"/>
    <col min="10263" max="10263" width="22.6640625" style="66" customWidth="1"/>
    <col min="10264" max="10264" width="20.33203125" style="66" customWidth="1"/>
    <col min="10265" max="10265" width="8.33203125" style="66" customWidth="1"/>
    <col min="10266" max="10266" width="28.5" style="66" bestFit="1" customWidth="1"/>
    <col min="10267" max="10497" width="11.5" style="66"/>
    <col min="10498" max="10498" width="4.6640625" style="66" customWidth="1"/>
    <col min="10499" max="10499" width="10.1640625" style="66" customWidth="1"/>
    <col min="10500" max="10500" width="51.1640625" style="66" customWidth="1"/>
    <col min="10501" max="10504" width="17.6640625" style="66" customWidth="1"/>
    <col min="10505" max="10507" width="17.83203125" style="66" customWidth="1"/>
    <col min="10508" max="10508" width="0" style="66" hidden="1" customWidth="1"/>
    <col min="10509" max="10509" width="17.83203125" style="66" customWidth="1"/>
    <col min="10510" max="10510" width="22.83203125" style="66" customWidth="1"/>
    <col min="10511" max="10513" width="17.83203125" style="66" customWidth="1"/>
    <col min="10514" max="10514" width="15.6640625" style="66" customWidth="1"/>
    <col min="10515" max="10515" width="22.33203125" style="66" customWidth="1"/>
    <col min="10516" max="10518" width="17.83203125" style="66" customWidth="1"/>
    <col min="10519" max="10519" width="22.6640625" style="66" customWidth="1"/>
    <col min="10520" max="10520" width="20.33203125" style="66" customWidth="1"/>
    <col min="10521" max="10521" width="8.33203125" style="66" customWidth="1"/>
    <col min="10522" max="10522" width="28.5" style="66" bestFit="1" customWidth="1"/>
    <col min="10523" max="10753" width="11.5" style="66"/>
    <col min="10754" max="10754" width="4.6640625" style="66" customWidth="1"/>
    <col min="10755" max="10755" width="10.1640625" style="66" customWidth="1"/>
    <col min="10756" max="10756" width="51.1640625" style="66" customWidth="1"/>
    <col min="10757" max="10760" width="17.6640625" style="66" customWidth="1"/>
    <col min="10761" max="10763" width="17.83203125" style="66" customWidth="1"/>
    <col min="10764" max="10764" width="0" style="66" hidden="1" customWidth="1"/>
    <col min="10765" max="10765" width="17.83203125" style="66" customWidth="1"/>
    <col min="10766" max="10766" width="22.83203125" style="66" customWidth="1"/>
    <col min="10767" max="10769" width="17.83203125" style="66" customWidth="1"/>
    <col min="10770" max="10770" width="15.6640625" style="66" customWidth="1"/>
    <col min="10771" max="10771" width="22.33203125" style="66" customWidth="1"/>
    <col min="10772" max="10774" width="17.83203125" style="66" customWidth="1"/>
    <col min="10775" max="10775" width="22.6640625" style="66" customWidth="1"/>
    <col min="10776" max="10776" width="20.33203125" style="66" customWidth="1"/>
    <col min="10777" max="10777" width="8.33203125" style="66" customWidth="1"/>
    <col min="10778" max="10778" width="28.5" style="66" bestFit="1" customWidth="1"/>
    <col min="10779" max="11009" width="11.5" style="66"/>
    <col min="11010" max="11010" width="4.6640625" style="66" customWidth="1"/>
    <col min="11011" max="11011" width="10.1640625" style="66" customWidth="1"/>
    <col min="11012" max="11012" width="51.1640625" style="66" customWidth="1"/>
    <col min="11013" max="11016" width="17.6640625" style="66" customWidth="1"/>
    <col min="11017" max="11019" width="17.83203125" style="66" customWidth="1"/>
    <col min="11020" max="11020" width="0" style="66" hidden="1" customWidth="1"/>
    <col min="11021" max="11021" width="17.83203125" style="66" customWidth="1"/>
    <col min="11022" max="11022" width="22.83203125" style="66" customWidth="1"/>
    <col min="11023" max="11025" width="17.83203125" style="66" customWidth="1"/>
    <col min="11026" max="11026" width="15.6640625" style="66" customWidth="1"/>
    <col min="11027" max="11027" width="22.33203125" style="66" customWidth="1"/>
    <col min="11028" max="11030" width="17.83203125" style="66" customWidth="1"/>
    <col min="11031" max="11031" width="22.6640625" style="66" customWidth="1"/>
    <col min="11032" max="11032" width="20.33203125" style="66" customWidth="1"/>
    <col min="11033" max="11033" width="8.33203125" style="66" customWidth="1"/>
    <col min="11034" max="11034" width="28.5" style="66" bestFit="1" customWidth="1"/>
    <col min="11035" max="11265" width="11.5" style="66"/>
    <col min="11266" max="11266" width="4.6640625" style="66" customWidth="1"/>
    <col min="11267" max="11267" width="10.1640625" style="66" customWidth="1"/>
    <col min="11268" max="11268" width="51.1640625" style="66" customWidth="1"/>
    <col min="11269" max="11272" width="17.6640625" style="66" customWidth="1"/>
    <col min="11273" max="11275" width="17.83203125" style="66" customWidth="1"/>
    <col min="11276" max="11276" width="0" style="66" hidden="1" customWidth="1"/>
    <col min="11277" max="11277" width="17.83203125" style="66" customWidth="1"/>
    <col min="11278" max="11278" width="22.83203125" style="66" customWidth="1"/>
    <col min="11279" max="11281" width="17.83203125" style="66" customWidth="1"/>
    <col min="11282" max="11282" width="15.6640625" style="66" customWidth="1"/>
    <col min="11283" max="11283" width="22.33203125" style="66" customWidth="1"/>
    <col min="11284" max="11286" width="17.83203125" style="66" customWidth="1"/>
    <col min="11287" max="11287" width="22.6640625" style="66" customWidth="1"/>
    <col min="11288" max="11288" width="20.33203125" style="66" customWidth="1"/>
    <col min="11289" max="11289" width="8.33203125" style="66" customWidth="1"/>
    <col min="11290" max="11290" width="28.5" style="66" bestFit="1" customWidth="1"/>
    <col min="11291" max="11521" width="11.5" style="66"/>
    <col min="11522" max="11522" width="4.6640625" style="66" customWidth="1"/>
    <col min="11523" max="11523" width="10.1640625" style="66" customWidth="1"/>
    <col min="11524" max="11524" width="51.1640625" style="66" customWidth="1"/>
    <col min="11525" max="11528" width="17.6640625" style="66" customWidth="1"/>
    <col min="11529" max="11531" width="17.83203125" style="66" customWidth="1"/>
    <col min="11532" max="11532" width="0" style="66" hidden="1" customWidth="1"/>
    <col min="11533" max="11533" width="17.83203125" style="66" customWidth="1"/>
    <col min="11534" max="11534" width="22.83203125" style="66" customWidth="1"/>
    <col min="11535" max="11537" width="17.83203125" style="66" customWidth="1"/>
    <col min="11538" max="11538" width="15.6640625" style="66" customWidth="1"/>
    <col min="11539" max="11539" width="22.33203125" style="66" customWidth="1"/>
    <col min="11540" max="11542" width="17.83203125" style="66" customWidth="1"/>
    <col min="11543" max="11543" width="22.6640625" style="66" customWidth="1"/>
    <col min="11544" max="11544" width="20.33203125" style="66" customWidth="1"/>
    <col min="11545" max="11545" width="8.33203125" style="66" customWidth="1"/>
    <col min="11546" max="11546" width="28.5" style="66" bestFit="1" customWidth="1"/>
    <col min="11547" max="11777" width="11.5" style="66"/>
    <col min="11778" max="11778" width="4.6640625" style="66" customWidth="1"/>
    <col min="11779" max="11779" width="10.1640625" style="66" customWidth="1"/>
    <col min="11780" max="11780" width="51.1640625" style="66" customWidth="1"/>
    <col min="11781" max="11784" width="17.6640625" style="66" customWidth="1"/>
    <col min="11785" max="11787" width="17.83203125" style="66" customWidth="1"/>
    <col min="11788" max="11788" width="0" style="66" hidden="1" customWidth="1"/>
    <col min="11789" max="11789" width="17.83203125" style="66" customWidth="1"/>
    <col min="11790" max="11790" width="22.83203125" style="66" customWidth="1"/>
    <col min="11791" max="11793" width="17.83203125" style="66" customWidth="1"/>
    <col min="11794" max="11794" width="15.6640625" style="66" customWidth="1"/>
    <col min="11795" max="11795" width="22.33203125" style="66" customWidth="1"/>
    <col min="11796" max="11798" width="17.83203125" style="66" customWidth="1"/>
    <col min="11799" max="11799" width="22.6640625" style="66" customWidth="1"/>
    <col min="11800" max="11800" width="20.33203125" style="66" customWidth="1"/>
    <col min="11801" max="11801" width="8.33203125" style="66" customWidth="1"/>
    <col min="11802" max="11802" width="28.5" style="66" bestFit="1" customWidth="1"/>
    <col min="11803" max="12033" width="11.5" style="66"/>
    <col min="12034" max="12034" width="4.6640625" style="66" customWidth="1"/>
    <col min="12035" max="12035" width="10.1640625" style="66" customWidth="1"/>
    <col min="12036" max="12036" width="51.1640625" style="66" customWidth="1"/>
    <col min="12037" max="12040" width="17.6640625" style="66" customWidth="1"/>
    <col min="12041" max="12043" width="17.83203125" style="66" customWidth="1"/>
    <col min="12044" max="12044" width="0" style="66" hidden="1" customWidth="1"/>
    <col min="12045" max="12045" width="17.83203125" style="66" customWidth="1"/>
    <col min="12046" max="12046" width="22.83203125" style="66" customWidth="1"/>
    <col min="12047" max="12049" width="17.83203125" style="66" customWidth="1"/>
    <col min="12050" max="12050" width="15.6640625" style="66" customWidth="1"/>
    <col min="12051" max="12051" width="22.33203125" style="66" customWidth="1"/>
    <col min="12052" max="12054" width="17.83203125" style="66" customWidth="1"/>
    <col min="12055" max="12055" width="22.6640625" style="66" customWidth="1"/>
    <col min="12056" max="12056" width="20.33203125" style="66" customWidth="1"/>
    <col min="12057" max="12057" width="8.33203125" style="66" customWidth="1"/>
    <col min="12058" max="12058" width="28.5" style="66" bestFit="1" customWidth="1"/>
    <col min="12059" max="12289" width="11.5" style="66"/>
    <col min="12290" max="12290" width="4.6640625" style="66" customWidth="1"/>
    <col min="12291" max="12291" width="10.1640625" style="66" customWidth="1"/>
    <col min="12292" max="12292" width="51.1640625" style="66" customWidth="1"/>
    <col min="12293" max="12296" width="17.6640625" style="66" customWidth="1"/>
    <col min="12297" max="12299" width="17.83203125" style="66" customWidth="1"/>
    <col min="12300" max="12300" width="0" style="66" hidden="1" customWidth="1"/>
    <col min="12301" max="12301" width="17.83203125" style="66" customWidth="1"/>
    <col min="12302" max="12302" width="22.83203125" style="66" customWidth="1"/>
    <col min="12303" max="12305" width="17.83203125" style="66" customWidth="1"/>
    <col min="12306" max="12306" width="15.6640625" style="66" customWidth="1"/>
    <col min="12307" max="12307" width="22.33203125" style="66" customWidth="1"/>
    <col min="12308" max="12310" width="17.83203125" style="66" customWidth="1"/>
    <col min="12311" max="12311" width="22.6640625" style="66" customWidth="1"/>
    <col min="12312" max="12312" width="20.33203125" style="66" customWidth="1"/>
    <col min="12313" max="12313" width="8.33203125" style="66" customWidth="1"/>
    <col min="12314" max="12314" width="28.5" style="66" bestFit="1" customWidth="1"/>
    <col min="12315" max="12545" width="11.5" style="66"/>
    <col min="12546" max="12546" width="4.6640625" style="66" customWidth="1"/>
    <col min="12547" max="12547" width="10.1640625" style="66" customWidth="1"/>
    <col min="12548" max="12548" width="51.1640625" style="66" customWidth="1"/>
    <col min="12549" max="12552" width="17.6640625" style="66" customWidth="1"/>
    <col min="12553" max="12555" width="17.83203125" style="66" customWidth="1"/>
    <col min="12556" max="12556" width="0" style="66" hidden="1" customWidth="1"/>
    <col min="12557" max="12557" width="17.83203125" style="66" customWidth="1"/>
    <col min="12558" max="12558" width="22.83203125" style="66" customWidth="1"/>
    <col min="12559" max="12561" width="17.83203125" style="66" customWidth="1"/>
    <col min="12562" max="12562" width="15.6640625" style="66" customWidth="1"/>
    <col min="12563" max="12563" width="22.33203125" style="66" customWidth="1"/>
    <col min="12564" max="12566" width="17.83203125" style="66" customWidth="1"/>
    <col min="12567" max="12567" width="22.6640625" style="66" customWidth="1"/>
    <col min="12568" max="12568" width="20.33203125" style="66" customWidth="1"/>
    <col min="12569" max="12569" width="8.33203125" style="66" customWidth="1"/>
    <col min="12570" max="12570" width="28.5" style="66" bestFit="1" customWidth="1"/>
    <col min="12571" max="12801" width="11.5" style="66"/>
    <col min="12802" max="12802" width="4.6640625" style="66" customWidth="1"/>
    <col min="12803" max="12803" width="10.1640625" style="66" customWidth="1"/>
    <col min="12804" max="12804" width="51.1640625" style="66" customWidth="1"/>
    <col min="12805" max="12808" width="17.6640625" style="66" customWidth="1"/>
    <col min="12809" max="12811" width="17.83203125" style="66" customWidth="1"/>
    <col min="12812" max="12812" width="0" style="66" hidden="1" customWidth="1"/>
    <col min="12813" max="12813" width="17.83203125" style="66" customWidth="1"/>
    <col min="12814" max="12814" width="22.83203125" style="66" customWidth="1"/>
    <col min="12815" max="12817" width="17.83203125" style="66" customWidth="1"/>
    <col min="12818" max="12818" width="15.6640625" style="66" customWidth="1"/>
    <col min="12819" max="12819" width="22.33203125" style="66" customWidth="1"/>
    <col min="12820" max="12822" width="17.83203125" style="66" customWidth="1"/>
    <col min="12823" max="12823" width="22.6640625" style="66" customWidth="1"/>
    <col min="12824" max="12824" width="20.33203125" style="66" customWidth="1"/>
    <col min="12825" max="12825" width="8.33203125" style="66" customWidth="1"/>
    <col min="12826" max="12826" width="28.5" style="66" bestFit="1" customWidth="1"/>
    <col min="12827" max="13057" width="11.5" style="66"/>
    <col min="13058" max="13058" width="4.6640625" style="66" customWidth="1"/>
    <col min="13059" max="13059" width="10.1640625" style="66" customWidth="1"/>
    <col min="13060" max="13060" width="51.1640625" style="66" customWidth="1"/>
    <col min="13061" max="13064" width="17.6640625" style="66" customWidth="1"/>
    <col min="13065" max="13067" width="17.83203125" style="66" customWidth="1"/>
    <col min="13068" max="13068" width="0" style="66" hidden="1" customWidth="1"/>
    <col min="13069" max="13069" width="17.83203125" style="66" customWidth="1"/>
    <col min="13070" max="13070" width="22.83203125" style="66" customWidth="1"/>
    <col min="13071" max="13073" width="17.83203125" style="66" customWidth="1"/>
    <col min="13074" max="13074" width="15.6640625" style="66" customWidth="1"/>
    <col min="13075" max="13075" width="22.33203125" style="66" customWidth="1"/>
    <col min="13076" max="13078" width="17.83203125" style="66" customWidth="1"/>
    <col min="13079" max="13079" width="22.6640625" style="66" customWidth="1"/>
    <col min="13080" max="13080" width="20.33203125" style="66" customWidth="1"/>
    <col min="13081" max="13081" width="8.33203125" style="66" customWidth="1"/>
    <col min="13082" max="13082" width="28.5" style="66" bestFit="1" customWidth="1"/>
    <col min="13083" max="13313" width="11.5" style="66"/>
    <col min="13314" max="13314" width="4.6640625" style="66" customWidth="1"/>
    <col min="13315" max="13315" width="10.1640625" style="66" customWidth="1"/>
    <col min="13316" max="13316" width="51.1640625" style="66" customWidth="1"/>
    <col min="13317" max="13320" width="17.6640625" style="66" customWidth="1"/>
    <col min="13321" max="13323" width="17.83203125" style="66" customWidth="1"/>
    <col min="13324" max="13324" width="0" style="66" hidden="1" customWidth="1"/>
    <col min="13325" max="13325" width="17.83203125" style="66" customWidth="1"/>
    <col min="13326" max="13326" width="22.83203125" style="66" customWidth="1"/>
    <col min="13327" max="13329" width="17.83203125" style="66" customWidth="1"/>
    <col min="13330" max="13330" width="15.6640625" style="66" customWidth="1"/>
    <col min="13331" max="13331" width="22.33203125" style="66" customWidth="1"/>
    <col min="13332" max="13334" width="17.83203125" style="66" customWidth="1"/>
    <col min="13335" max="13335" width="22.6640625" style="66" customWidth="1"/>
    <col min="13336" max="13336" width="20.33203125" style="66" customWidth="1"/>
    <col min="13337" max="13337" width="8.33203125" style="66" customWidth="1"/>
    <col min="13338" max="13338" width="28.5" style="66" bestFit="1" customWidth="1"/>
    <col min="13339" max="13569" width="11.5" style="66"/>
    <col min="13570" max="13570" width="4.6640625" style="66" customWidth="1"/>
    <col min="13571" max="13571" width="10.1640625" style="66" customWidth="1"/>
    <col min="13572" max="13572" width="51.1640625" style="66" customWidth="1"/>
    <col min="13573" max="13576" width="17.6640625" style="66" customWidth="1"/>
    <col min="13577" max="13579" width="17.83203125" style="66" customWidth="1"/>
    <col min="13580" max="13580" width="0" style="66" hidden="1" customWidth="1"/>
    <col min="13581" max="13581" width="17.83203125" style="66" customWidth="1"/>
    <col min="13582" max="13582" width="22.83203125" style="66" customWidth="1"/>
    <col min="13583" max="13585" width="17.83203125" style="66" customWidth="1"/>
    <col min="13586" max="13586" width="15.6640625" style="66" customWidth="1"/>
    <col min="13587" max="13587" width="22.33203125" style="66" customWidth="1"/>
    <col min="13588" max="13590" width="17.83203125" style="66" customWidth="1"/>
    <col min="13591" max="13591" width="22.6640625" style="66" customWidth="1"/>
    <col min="13592" max="13592" width="20.33203125" style="66" customWidth="1"/>
    <col min="13593" max="13593" width="8.33203125" style="66" customWidth="1"/>
    <col min="13594" max="13594" width="28.5" style="66" bestFit="1" customWidth="1"/>
    <col min="13595" max="13825" width="11.5" style="66"/>
    <col min="13826" max="13826" width="4.6640625" style="66" customWidth="1"/>
    <col min="13827" max="13827" width="10.1640625" style="66" customWidth="1"/>
    <col min="13828" max="13828" width="51.1640625" style="66" customWidth="1"/>
    <col min="13829" max="13832" width="17.6640625" style="66" customWidth="1"/>
    <col min="13833" max="13835" width="17.83203125" style="66" customWidth="1"/>
    <col min="13836" max="13836" width="0" style="66" hidden="1" customWidth="1"/>
    <col min="13837" max="13837" width="17.83203125" style="66" customWidth="1"/>
    <col min="13838" max="13838" width="22.83203125" style="66" customWidth="1"/>
    <col min="13839" max="13841" width="17.83203125" style="66" customWidth="1"/>
    <col min="13842" max="13842" width="15.6640625" style="66" customWidth="1"/>
    <col min="13843" max="13843" width="22.33203125" style="66" customWidth="1"/>
    <col min="13844" max="13846" width="17.83203125" style="66" customWidth="1"/>
    <col min="13847" max="13847" width="22.6640625" style="66" customWidth="1"/>
    <col min="13848" max="13848" width="20.33203125" style="66" customWidth="1"/>
    <col min="13849" max="13849" width="8.33203125" style="66" customWidth="1"/>
    <col min="13850" max="13850" width="28.5" style="66" bestFit="1" customWidth="1"/>
    <col min="13851" max="14081" width="11.5" style="66"/>
    <col min="14082" max="14082" width="4.6640625" style="66" customWidth="1"/>
    <col min="14083" max="14083" width="10.1640625" style="66" customWidth="1"/>
    <col min="14084" max="14084" width="51.1640625" style="66" customWidth="1"/>
    <col min="14085" max="14088" width="17.6640625" style="66" customWidth="1"/>
    <col min="14089" max="14091" width="17.83203125" style="66" customWidth="1"/>
    <col min="14092" max="14092" width="0" style="66" hidden="1" customWidth="1"/>
    <col min="14093" max="14093" width="17.83203125" style="66" customWidth="1"/>
    <col min="14094" max="14094" width="22.83203125" style="66" customWidth="1"/>
    <col min="14095" max="14097" width="17.83203125" style="66" customWidth="1"/>
    <col min="14098" max="14098" width="15.6640625" style="66" customWidth="1"/>
    <col min="14099" max="14099" width="22.33203125" style="66" customWidth="1"/>
    <col min="14100" max="14102" width="17.83203125" style="66" customWidth="1"/>
    <col min="14103" max="14103" width="22.6640625" style="66" customWidth="1"/>
    <col min="14104" max="14104" width="20.33203125" style="66" customWidth="1"/>
    <col min="14105" max="14105" width="8.33203125" style="66" customWidth="1"/>
    <col min="14106" max="14106" width="28.5" style="66" bestFit="1" customWidth="1"/>
    <col min="14107" max="14337" width="11.5" style="66"/>
    <col min="14338" max="14338" width="4.6640625" style="66" customWidth="1"/>
    <col min="14339" max="14339" width="10.1640625" style="66" customWidth="1"/>
    <col min="14340" max="14340" width="51.1640625" style="66" customWidth="1"/>
    <col min="14341" max="14344" width="17.6640625" style="66" customWidth="1"/>
    <col min="14345" max="14347" width="17.83203125" style="66" customWidth="1"/>
    <col min="14348" max="14348" width="0" style="66" hidden="1" customWidth="1"/>
    <col min="14349" max="14349" width="17.83203125" style="66" customWidth="1"/>
    <col min="14350" max="14350" width="22.83203125" style="66" customWidth="1"/>
    <col min="14351" max="14353" width="17.83203125" style="66" customWidth="1"/>
    <col min="14354" max="14354" width="15.6640625" style="66" customWidth="1"/>
    <col min="14355" max="14355" width="22.33203125" style="66" customWidth="1"/>
    <col min="14356" max="14358" width="17.83203125" style="66" customWidth="1"/>
    <col min="14359" max="14359" width="22.6640625" style="66" customWidth="1"/>
    <col min="14360" max="14360" width="20.33203125" style="66" customWidth="1"/>
    <col min="14361" max="14361" width="8.33203125" style="66" customWidth="1"/>
    <col min="14362" max="14362" width="28.5" style="66" bestFit="1" customWidth="1"/>
    <col min="14363" max="14593" width="11.5" style="66"/>
    <col min="14594" max="14594" width="4.6640625" style="66" customWidth="1"/>
    <col min="14595" max="14595" width="10.1640625" style="66" customWidth="1"/>
    <col min="14596" max="14596" width="51.1640625" style="66" customWidth="1"/>
    <col min="14597" max="14600" width="17.6640625" style="66" customWidth="1"/>
    <col min="14601" max="14603" width="17.83203125" style="66" customWidth="1"/>
    <col min="14604" max="14604" width="0" style="66" hidden="1" customWidth="1"/>
    <col min="14605" max="14605" width="17.83203125" style="66" customWidth="1"/>
    <col min="14606" max="14606" width="22.83203125" style="66" customWidth="1"/>
    <col min="14607" max="14609" width="17.83203125" style="66" customWidth="1"/>
    <col min="14610" max="14610" width="15.6640625" style="66" customWidth="1"/>
    <col min="14611" max="14611" width="22.33203125" style="66" customWidth="1"/>
    <col min="14612" max="14614" width="17.83203125" style="66" customWidth="1"/>
    <col min="14615" max="14615" width="22.6640625" style="66" customWidth="1"/>
    <col min="14616" max="14616" width="20.33203125" style="66" customWidth="1"/>
    <col min="14617" max="14617" width="8.33203125" style="66" customWidth="1"/>
    <col min="14618" max="14618" width="28.5" style="66" bestFit="1" customWidth="1"/>
    <col min="14619" max="14849" width="11.5" style="66"/>
    <col min="14850" max="14850" width="4.6640625" style="66" customWidth="1"/>
    <col min="14851" max="14851" width="10.1640625" style="66" customWidth="1"/>
    <col min="14852" max="14852" width="51.1640625" style="66" customWidth="1"/>
    <col min="14853" max="14856" width="17.6640625" style="66" customWidth="1"/>
    <col min="14857" max="14859" width="17.83203125" style="66" customWidth="1"/>
    <col min="14860" max="14860" width="0" style="66" hidden="1" customWidth="1"/>
    <col min="14861" max="14861" width="17.83203125" style="66" customWidth="1"/>
    <col min="14862" max="14862" width="22.83203125" style="66" customWidth="1"/>
    <col min="14863" max="14865" width="17.83203125" style="66" customWidth="1"/>
    <col min="14866" max="14866" width="15.6640625" style="66" customWidth="1"/>
    <col min="14867" max="14867" width="22.33203125" style="66" customWidth="1"/>
    <col min="14868" max="14870" width="17.83203125" style="66" customWidth="1"/>
    <col min="14871" max="14871" width="22.6640625" style="66" customWidth="1"/>
    <col min="14872" max="14872" width="20.33203125" style="66" customWidth="1"/>
    <col min="14873" max="14873" width="8.33203125" style="66" customWidth="1"/>
    <col min="14874" max="14874" width="28.5" style="66" bestFit="1" customWidth="1"/>
    <col min="14875" max="15105" width="11.5" style="66"/>
    <col min="15106" max="15106" width="4.6640625" style="66" customWidth="1"/>
    <col min="15107" max="15107" width="10.1640625" style="66" customWidth="1"/>
    <col min="15108" max="15108" width="51.1640625" style="66" customWidth="1"/>
    <col min="15109" max="15112" width="17.6640625" style="66" customWidth="1"/>
    <col min="15113" max="15115" width="17.83203125" style="66" customWidth="1"/>
    <col min="15116" max="15116" width="0" style="66" hidden="1" customWidth="1"/>
    <col min="15117" max="15117" width="17.83203125" style="66" customWidth="1"/>
    <col min="15118" max="15118" width="22.83203125" style="66" customWidth="1"/>
    <col min="15119" max="15121" width="17.83203125" style="66" customWidth="1"/>
    <col min="15122" max="15122" width="15.6640625" style="66" customWidth="1"/>
    <col min="15123" max="15123" width="22.33203125" style="66" customWidth="1"/>
    <col min="15124" max="15126" width="17.83203125" style="66" customWidth="1"/>
    <col min="15127" max="15127" width="22.6640625" style="66" customWidth="1"/>
    <col min="15128" max="15128" width="20.33203125" style="66" customWidth="1"/>
    <col min="15129" max="15129" width="8.33203125" style="66" customWidth="1"/>
    <col min="15130" max="15130" width="28.5" style="66" bestFit="1" customWidth="1"/>
    <col min="15131" max="15361" width="11.5" style="66"/>
    <col min="15362" max="15362" width="4.6640625" style="66" customWidth="1"/>
    <col min="15363" max="15363" width="10.1640625" style="66" customWidth="1"/>
    <col min="15364" max="15364" width="51.1640625" style="66" customWidth="1"/>
    <col min="15365" max="15368" width="17.6640625" style="66" customWidth="1"/>
    <col min="15369" max="15371" width="17.83203125" style="66" customWidth="1"/>
    <col min="15372" max="15372" width="0" style="66" hidden="1" customWidth="1"/>
    <col min="15373" max="15373" width="17.83203125" style="66" customWidth="1"/>
    <col min="15374" max="15374" width="22.83203125" style="66" customWidth="1"/>
    <col min="15375" max="15377" width="17.83203125" style="66" customWidth="1"/>
    <col min="15378" max="15378" width="15.6640625" style="66" customWidth="1"/>
    <col min="15379" max="15379" width="22.33203125" style="66" customWidth="1"/>
    <col min="15380" max="15382" width="17.83203125" style="66" customWidth="1"/>
    <col min="15383" max="15383" width="22.6640625" style="66" customWidth="1"/>
    <col min="15384" max="15384" width="20.33203125" style="66" customWidth="1"/>
    <col min="15385" max="15385" width="8.33203125" style="66" customWidth="1"/>
    <col min="15386" max="15386" width="28.5" style="66" bestFit="1" customWidth="1"/>
    <col min="15387" max="15617" width="11.5" style="66"/>
    <col min="15618" max="15618" width="4.6640625" style="66" customWidth="1"/>
    <col min="15619" max="15619" width="10.1640625" style="66" customWidth="1"/>
    <col min="15620" max="15620" width="51.1640625" style="66" customWidth="1"/>
    <col min="15621" max="15624" width="17.6640625" style="66" customWidth="1"/>
    <col min="15625" max="15627" width="17.83203125" style="66" customWidth="1"/>
    <col min="15628" max="15628" width="0" style="66" hidden="1" customWidth="1"/>
    <col min="15629" max="15629" width="17.83203125" style="66" customWidth="1"/>
    <col min="15630" max="15630" width="22.83203125" style="66" customWidth="1"/>
    <col min="15631" max="15633" width="17.83203125" style="66" customWidth="1"/>
    <col min="15634" max="15634" width="15.6640625" style="66" customWidth="1"/>
    <col min="15635" max="15635" width="22.33203125" style="66" customWidth="1"/>
    <col min="15636" max="15638" width="17.83203125" style="66" customWidth="1"/>
    <col min="15639" max="15639" width="22.6640625" style="66" customWidth="1"/>
    <col min="15640" max="15640" width="20.33203125" style="66" customWidth="1"/>
    <col min="15641" max="15641" width="8.33203125" style="66" customWidth="1"/>
    <col min="15642" max="15642" width="28.5" style="66" bestFit="1" customWidth="1"/>
    <col min="15643" max="15873" width="11.5" style="66"/>
    <col min="15874" max="15874" width="4.6640625" style="66" customWidth="1"/>
    <col min="15875" max="15875" width="10.1640625" style="66" customWidth="1"/>
    <col min="15876" max="15876" width="51.1640625" style="66" customWidth="1"/>
    <col min="15877" max="15880" width="17.6640625" style="66" customWidth="1"/>
    <col min="15881" max="15883" width="17.83203125" style="66" customWidth="1"/>
    <col min="15884" max="15884" width="0" style="66" hidden="1" customWidth="1"/>
    <col min="15885" max="15885" width="17.83203125" style="66" customWidth="1"/>
    <col min="15886" max="15886" width="22.83203125" style="66" customWidth="1"/>
    <col min="15887" max="15889" width="17.83203125" style="66" customWidth="1"/>
    <col min="15890" max="15890" width="15.6640625" style="66" customWidth="1"/>
    <col min="15891" max="15891" width="22.33203125" style="66" customWidth="1"/>
    <col min="15892" max="15894" width="17.83203125" style="66" customWidth="1"/>
    <col min="15895" max="15895" width="22.6640625" style="66" customWidth="1"/>
    <col min="15896" max="15896" width="20.33203125" style="66" customWidth="1"/>
    <col min="15897" max="15897" width="8.33203125" style="66" customWidth="1"/>
    <col min="15898" max="15898" width="28.5" style="66" bestFit="1" customWidth="1"/>
    <col min="15899" max="16129" width="11.5" style="66"/>
    <col min="16130" max="16130" width="4.6640625" style="66" customWidth="1"/>
    <col min="16131" max="16131" width="10.1640625" style="66" customWidth="1"/>
    <col min="16132" max="16132" width="51.1640625" style="66" customWidth="1"/>
    <col min="16133" max="16136" width="17.6640625" style="66" customWidth="1"/>
    <col min="16137" max="16139" width="17.83203125" style="66" customWidth="1"/>
    <col min="16140" max="16140" width="0" style="66" hidden="1" customWidth="1"/>
    <col min="16141" max="16141" width="17.83203125" style="66" customWidth="1"/>
    <col min="16142" max="16142" width="22.83203125" style="66" customWidth="1"/>
    <col min="16143" max="16145" width="17.83203125" style="66" customWidth="1"/>
    <col min="16146" max="16146" width="15.6640625" style="66" customWidth="1"/>
    <col min="16147" max="16147" width="22.33203125" style="66" customWidth="1"/>
    <col min="16148" max="16150" width="17.83203125" style="66" customWidth="1"/>
    <col min="16151" max="16151" width="22.6640625" style="66" customWidth="1"/>
    <col min="16152" max="16152" width="20.33203125" style="66" customWidth="1"/>
    <col min="16153" max="16153" width="8.33203125" style="66" customWidth="1"/>
    <col min="16154" max="16154" width="28.5" style="66" bestFit="1" customWidth="1"/>
    <col min="16155" max="16384" width="11.5" style="66"/>
  </cols>
  <sheetData>
    <row r="5" spans="1:25" ht="30" customHeight="1">
      <c r="A5" s="73" t="s">
        <v>0</v>
      </c>
      <c r="B5" s="73"/>
      <c r="C5" s="73"/>
      <c r="D5" s="73"/>
      <c r="E5" s="73"/>
      <c r="F5" s="74"/>
      <c r="G5" s="76"/>
      <c r="H5" s="74"/>
      <c r="I5" s="75"/>
      <c r="J5" s="77"/>
      <c r="K5" s="77"/>
      <c r="L5" s="73"/>
      <c r="M5" s="73"/>
      <c r="N5" s="78"/>
      <c r="O5" s="79"/>
      <c r="P5" s="78"/>
      <c r="Q5" s="78"/>
      <c r="R5" s="78"/>
      <c r="S5" s="78"/>
      <c r="T5" s="78"/>
      <c r="U5" s="112"/>
      <c r="V5" s="112"/>
      <c r="W5" s="112"/>
      <c r="X5" s="66"/>
    </row>
    <row r="6" spans="1:25" ht="30" customHeight="1">
      <c r="A6" s="73" t="s">
        <v>1</v>
      </c>
      <c r="B6" s="73"/>
      <c r="C6" s="73"/>
      <c r="D6" s="73"/>
      <c r="E6" s="73"/>
      <c r="F6" s="77"/>
      <c r="G6" s="119" t="s">
        <v>63</v>
      </c>
      <c r="H6" s="77"/>
      <c r="J6" s="77"/>
      <c r="K6" s="77"/>
      <c r="L6" s="73"/>
      <c r="M6" s="73"/>
      <c r="X6" s="66"/>
    </row>
    <row r="7" spans="1:25" s="80" customFormat="1" ht="30" customHeight="1">
      <c r="A7" s="73" t="s">
        <v>2</v>
      </c>
      <c r="B7" s="73"/>
      <c r="C7" s="73"/>
      <c r="D7" s="73"/>
      <c r="E7" s="73"/>
      <c r="F7" s="74"/>
      <c r="G7" s="76"/>
      <c r="H7" s="74"/>
      <c r="I7" s="75"/>
      <c r="J7" s="77"/>
      <c r="K7" s="77"/>
      <c r="L7" s="73"/>
      <c r="M7" s="73"/>
      <c r="N7" s="78"/>
      <c r="O7" s="79"/>
      <c r="P7" s="78"/>
      <c r="Q7" s="78"/>
      <c r="R7" s="78"/>
      <c r="S7" s="78"/>
      <c r="T7" s="78"/>
      <c r="U7" s="112"/>
      <c r="V7" s="112"/>
      <c r="W7" s="112"/>
      <c r="X7" s="66"/>
    </row>
    <row r="8" spans="1:25" ht="21" customHeight="1">
      <c r="X8" s="81"/>
    </row>
    <row r="9" spans="1:25" s="82" customFormat="1" ht="62" customHeight="1">
      <c r="A9" s="300" t="s">
        <v>3</v>
      </c>
      <c r="B9" s="300" t="s">
        <v>4</v>
      </c>
      <c r="C9" s="300" t="s">
        <v>5</v>
      </c>
      <c r="D9" s="300" t="s">
        <v>6</v>
      </c>
      <c r="E9" s="300" t="s">
        <v>35</v>
      </c>
      <c r="F9" s="298" t="s">
        <v>7</v>
      </c>
      <c r="G9" s="302" t="s">
        <v>38</v>
      </c>
      <c r="H9" s="298" t="s">
        <v>8</v>
      </c>
      <c r="I9" s="298" t="s">
        <v>9</v>
      </c>
      <c r="J9" s="298" t="s">
        <v>11</v>
      </c>
      <c r="K9" s="298" t="s">
        <v>39</v>
      </c>
      <c r="L9" s="298" t="s">
        <v>45</v>
      </c>
      <c r="M9" s="298" t="s">
        <v>37</v>
      </c>
      <c r="N9" s="308" t="s">
        <v>47</v>
      </c>
      <c r="O9" s="310" t="s">
        <v>29</v>
      </c>
      <c r="P9" s="311"/>
      <c r="Q9" s="311"/>
      <c r="R9" s="312"/>
      <c r="S9" s="308" t="s">
        <v>33</v>
      </c>
      <c r="T9" s="308" t="s">
        <v>34</v>
      </c>
      <c r="U9" s="304" t="s">
        <v>41</v>
      </c>
      <c r="V9" s="304" t="s">
        <v>40</v>
      </c>
      <c r="W9" s="304" t="s">
        <v>12</v>
      </c>
      <c r="X9" s="306" t="s">
        <v>42</v>
      </c>
    </row>
    <row r="10" spans="1:25" s="82" customFormat="1" ht="37" customHeight="1">
      <c r="A10" s="301"/>
      <c r="B10" s="301"/>
      <c r="C10" s="301"/>
      <c r="D10" s="301"/>
      <c r="E10" s="301"/>
      <c r="F10" s="299"/>
      <c r="G10" s="303"/>
      <c r="H10" s="299"/>
      <c r="I10" s="299"/>
      <c r="J10" s="299"/>
      <c r="K10" s="299"/>
      <c r="L10" s="299"/>
      <c r="M10" s="299"/>
      <c r="N10" s="309"/>
      <c r="O10" s="83" t="s">
        <v>30</v>
      </c>
      <c r="P10" s="84" t="s">
        <v>31</v>
      </c>
      <c r="Q10" s="84" t="s">
        <v>32</v>
      </c>
      <c r="R10" s="84" t="s">
        <v>36</v>
      </c>
      <c r="S10" s="309"/>
      <c r="T10" s="309"/>
      <c r="U10" s="305"/>
      <c r="V10" s="305"/>
      <c r="W10" s="305"/>
      <c r="X10" s="307"/>
    </row>
    <row r="11" spans="1:25" s="94" customFormat="1" ht="30" customHeight="1">
      <c r="A11" s="85">
        <v>1</v>
      </c>
      <c r="B11" s="155" t="s">
        <v>57</v>
      </c>
      <c r="C11" s="126" t="s">
        <v>43</v>
      </c>
      <c r="D11" s="127" t="s">
        <v>51</v>
      </c>
      <c r="E11" s="127" t="s">
        <v>48</v>
      </c>
      <c r="F11" s="124" t="s">
        <v>107</v>
      </c>
      <c r="G11" s="88">
        <v>46204</v>
      </c>
      <c r="H11" s="88" t="s">
        <v>108</v>
      </c>
      <c r="I11" s="88" t="s">
        <v>1603</v>
      </c>
      <c r="J11" s="89" t="s">
        <v>110</v>
      </c>
      <c r="K11" s="89" t="s">
        <v>109</v>
      </c>
      <c r="L11" s="89" t="s">
        <v>88</v>
      </c>
      <c r="M11" s="118"/>
      <c r="N11" s="90">
        <v>20000</v>
      </c>
      <c r="O11" s="91"/>
      <c r="P11" s="90"/>
      <c r="Q11" s="90"/>
      <c r="R11" s="90">
        <v>0</v>
      </c>
      <c r="S11" s="90">
        <v>0</v>
      </c>
      <c r="T11" s="90">
        <f>+R11-S11</f>
        <v>0</v>
      </c>
      <c r="U11" s="128">
        <f>+V11/N11</f>
        <v>19984.731199999998</v>
      </c>
      <c r="V11" s="92">
        <f>+X11/1.1</f>
        <v>399694623.99999994</v>
      </c>
      <c r="W11" s="92">
        <f>V11*10%</f>
        <v>39969462.399999999</v>
      </c>
      <c r="X11" s="129">
        <v>439664086.39999998</v>
      </c>
      <c r="Y11" s="115"/>
    </row>
    <row r="12" spans="1:25" s="94" customFormat="1" ht="30" customHeight="1">
      <c r="A12" s="85">
        <v>2</v>
      </c>
      <c r="B12" s="155" t="s">
        <v>57</v>
      </c>
      <c r="C12" s="126" t="s">
        <v>43</v>
      </c>
      <c r="D12" s="127" t="s">
        <v>51</v>
      </c>
      <c r="E12" s="127" t="s">
        <v>48</v>
      </c>
      <c r="F12" s="124" t="s">
        <v>107</v>
      </c>
      <c r="G12" s="88">
        <v>46204</v>
      </c>
      <c r="H12" s="87" t="s">
        <v>158</v>
      </c>
      <c r="I12" s="88" t="s">
        <v>159</v>
      </c>
      <c r="J12" s="89" t="s">
        <v>160</v>
      </c>
      <c r="K12" s="89" t="s">
        <v>161</v>
      </c>
      <c r="L12" s="89" t="s">
        <v>88</v>
      </c>
      <c r="M12" s="118"/>
      <c r="N12" s="90">
        <v>40000</v>
      </c>
      <c r="O12" s="91"/>
      <c r="P12" s="90"/>
      <c r="Q12" s="90"/>
      <c r="R12" s="90">
        <v>0</v>
      </c>
      <c r="S12" s="90">
        <v>0</v>
      </c>
      <c r="T12" s="90">
        <f>+R12-S12</f>
        <v>0</v>
      </c>
      <c r="U12" s="128">
        <f t="shared" ref="U12:U76" si="0">+V12/N12</f>
        <v>19782.729199999998</v>
      </c>
      <c r="V12" s="92">
        <f t="shared" ref="V12:V76" si="1">+X12/1.1</f>
        <v>791309167.99999988</v>
      </c>
      <c r="W12" s="92">
        <f t="shared" ref="W12:W76" si="2">V12*10%</f>
        <v>79130916.799999997</v>
      </c>
      <c r="X12" s="129">
        <v>870440084.79999995</v>
      </c>
      <c r="Y12" s="115"/>
    </row>
    <row r="13" spans="1:25" s="94" customFormat="1" ht="30" customHeight="1">
      <c r="A13" s="85">
        <v>3</v>
      </c>
      <c r="B13" s="155" t="s">
        <v>57</v>
      </c>
      <c r="C13" s="126" t="s">
        <v>43</v>
      </c>
      <c r="D13" s="127" t="s">
        <v>51</v>
      </c>
      <c r="E13" s="127" t="s">
        <v>48</v>
      </c>
      <c r="F13" s="124" t="s">
        <v>59</v>
      </c>
      <c r="G13" s="88">
        <v>46204</v>
      </c>
      <c r="H13" s="87" t="s">
        <v>162</v>
      </c>
      <c r="I13" s="88" t="s">
        <v>163</v>
      </c>
      <c r="J13" s="89" t="s">
        <v>164</v>
      </c>
      <c r="K13" s="89" t="s">
        <v>165</v>
      </c>
      <c r="L13" s="89" t="s">
        <v>88</v>
      </c>
      <c r="M13" s="118"/>
      <c r="N13" s="90">
        <v>20000</v>
      </c>
      <c r="O13" s="91"/>
      <c r="P13" s="90"/>
      <c r="Q13" s="90"/>
      <c r="R13" s="90"/>
      <c r="S13" s="130"/>
      <c r="T13" s="130"/>
      <c r="U13" s="128">
        <f t="shared" si="0"/>
        <v>19782.729199999998</v>
      </c>
      <c r="V13" s="92">
        <f t="shared" si="1"/>
        <v>395654583.99999994</v>
      </c>
      <c r="W13" s="92">
        <f t="shared" si="2"/>
        <v>39565458.399999999</v>
      </c>
      <c r="X13" s="129">
        <v>435220042.39999998</v>
      </c>
      <c r="Y13" s="115"/>
    </row>
    <row r="14" spans="1:25" s="94" customFormat="1" ht="30" customHeight="1">
      <c r="A14" s="85">
        <v>4</v>
      </c>
      <c r="B14" s="155" t="s">
        <v>57</v>
      </c>
      <c r="C14" s="126" t="s">
        <v>43</v>
      </c>
      <c r="D14" s="127" t="s">
        <v>51</v>
      </c>
      <c r="E14" s="127" t="s">
        <v>48</v>
      </c>
      <c r="F14" s="124" t="s">
        <v>59</v>
      </c>
      <c r="G14" s="88">
        <v>46204</v>
      </c>
      <c r="H14" s="87" t="s">
        <v>170</v>
      </c>
      <c r="I14" s="88" t="s">
        <v>171</v>
      </c>
      <c r="J14" s="89" t="s">
        <v>172</v>
      </c>
      <c r="K14" s="89" t="s">
        <v>173</v>
      </c>
      <c r="L14" s="89" t="s">
        <v>88</v>
      </c>
      <c r="M14" s="118"/>
      <c r="N14" s="90">
        <v>15000</v>
      </c>
      <c r="O14" s="91"/>
      <c r="P14" s="90"/>
      <c r="Q14" s="90"/>
      <c r="R14" s="90"/>
      <c r="S14" s="130"/>
      <c r="T14" s="130"/>
      <c r="U14" s="128">
        <f t="shared" si="0"/>
        <v>19728.862000000001</v>
      </c>
      <c r="V14" s="92">
        <f t="shared" si="1"/>
        <v>295932930</v>
      </c>
      <c r="W14" s="92">
        <f t="shared" si="2"/>
        <v>29593293</v>
      </c>
      <c r="X14" s="129">
        <v>325526223</v>
      </c>
      <c r="Y14" s="115"/>
    </row>
    <row r="15" spans="1:25" s="94" customFormat="1" ht="30" customHeight="1">
      <c r="A15" s="85">
        <v>5</v>
      </c>
      <c r="B15" s="155" t="s">
        <v>57</v>
      </c>
      <c r="C15" s="126" t="s">
        <v>43</v>
      </c>
      <c r="D15" s="127" t="s">
        <v>51</v>
      </c>
      <c r="E15" s="127" t="s">
        <v>48</v>
      </c>
      <c r="F15" s="124" t="s">
        <v>59</v>
      </c>
      <c r="G15" s="88">
        <v>46204</v>
      </c>
      <c r="H15" s="87" t="s">
        <v>242</v>
      </c>
      <c r="I15" s="88" t="s">
        <v>243</v>
      </c>
      <c r="J15" s="89" t="s">
        <v>244</v>
      </c>
      <c r="K15" s="89" t="s">
        <v>245</v>
      </c>
      <c r="L15" s="89" t="s">
        <v>88</v>
      </c>
      <c r="M15" s="118"/>
      <c r="N15" s="90">
        <v>10000</v>
      </c>
      <c r="O15" s="91"/>
      <c r="P15" s="90"/>
      <c r="Q15" s="90"/>
      <c r="R15" s="90"/>
      <c r="S15" s="130"/>
      <c r="T15" s="130"/>
      <c r="U15" s="128">
        <f t="shared" si="0"/>
        <v>19728.861999999997</v>
      </c>
      <c r="V15" s="92">
        <f t="shared" si="1"/>
        <v>197288619.99999997</v>
      </c>
      <c r="W15" s="92">
        <f t="shared" si="2"/>
        <v>19728861.999999996</v>
      </c>
      <c r="X15" s="129">
        <v>217017482</v>
      </c>
      <c r="Y15" s="115"/>
    </row>
    <row r="16" spans="1:25" s="94" customFormat="1" ht="30" customHeight="1">
      <c r="A16" s="85">
        <v>6</v>
      </c>
      <c r="B16" s="155" t="s">
        <v>57</v>
      </c>
      <c r="C16" s="126" t="s">
        <v>43</v>
      </c>
      <c r="D16" s="127" t="s">
        <v>51</v>
      </c>
      <c r="E16" s="127" t="s">
        <v>48</v>
      </c>
      <c r="F16" s="124" t="s">
        <v>59</v>
      </c>
      <c r="G16" s="88">
        <v>46204</v>
      </c>
      <c r="H16" s="87" t="s">
        <v>306</v>
      </c>
      <c r="I16" s="88" t="s">
        <v>246</v>
      </c>
      <c r="J16" s="89" t="s">
        <v>247</v>
      </c>
      <c r="K16" s="89" t="s">
        <v>248</v>
      </c>
      <c r="L16" s="89" t="s">
        <v>88</v>
      </c>
      <c r="M16" s="118"/>
      <c r="N16" s="90">
        <v>658</v>
      </c>
      <c r="O16" s="91"/>
      <c r="P16" s="90"/>
      <c r="Q16" s="90"/>
      <c r="R16" s="90"/>
      <c r="S16" s="130"/>
      <c r="T16" s="130"/>
      <c r="U16" s="128">
        <f t="shared" si="0"/>
        <v>19728.862006079027</v>
      </c>
      <c r="V16" s="92">
        <f t="shared" si="1"/>
        <v>12981591.199999999</v>
      </c>
      <c r="W16" s="92">
        <f t="shared" si="2"/>
        <v>1298159.1200000001</v>
      </c>
      <c r="X16" s="129">
        <v>14279750.32</v>
      </c>
      <c r="Y16" s="115"/>
    </row>
    <row r="17" spans="1:25" s="94" customFormat="1" ht="30" customHeight="1">
      <c r="A17" s="85">
        <v>7</v>
      </c>
      <c r="B17" s="155" t="s">
        <v>57</v>
      </c>
      <c r="C17" s="126" t="s">
        <v>43</v>
      </c>
      <c r="D17" s="127" t="s">
        <v>51</v>
      </c>
      <c r="E17" s="127" t="s">
        <v>48</v>
      </c>
      <c r="F17" s="124" t="s">
        <v>59</v>
      </c>
      <c r="G17" s="88">
        <v>46204</v>
      </c>
      <c r="H17" s="87" t="s">
        <v>307</v>
      </c>
      <c r="I17" s="88" t="s">
        <v>249</v>
      </c>
      <c r="J17" s="89" t="s">
        <v>250</v>
      </c>
      <c r="K17" s="89" t="s">
        <v>251</v>
      </c>
      <c r="L17" s="89" t="s">
        <v>88</v>
      </c>
      <c r="M17" s="118"/>
      <c r="N17" s="90">
        <v>1742</v>
      </c>
      <c r="O17" s="91"/>
      <c r="P17" s="90"/>
      <c r="Q17" s="90"/>
      <c r="R17" s="90"/>
      <c r="S17" s="130"/>
      <c r="T17" s="130"/>
      <c r="U17" s="128">
        <f t="shared" si="0"/>
        <v>19728.861997703785</v>
      </c>
      <c r="V17" s="92">
        <f t="shared" si="1"/>
        <v>34367677.599999994</v>
      </c>
      <c r="W17" s="92">
        <f t="shared" si="2"/>
        <v>3436767.76</v>
      </c>
      <c r="X17" s="129">
        <v>37804445.359999999</v>
      </c>
      <c r="Y17" s="115"/>
    </row>
    <row r="18" spans="1:25" s="94" customFormat="1" ht="30" customHeight="1">
      <c r="A18" s="85">
        <v>8</v>
      </c>
      <c r="B18" s="155" t="s">
        <v>57</v>
      </c>
      <c r="C18" s="126" t="s">
        <v>43</v>
      </c>
      <c r="D18" s="127" t="s">
        <v>51</v>
      </c>
      <c r="E18" s="127" t="s">
        <v>48</v>
      </c>
      <c r="F18" s="124" t="s">
        <v>59</v>
      </c>
      <c r="G18" s="88">
        <v>46205</v>
      </c>
      <c r="H18" s="87" t="s">
        <v>305</v>
      </c>
      <c r="I18" s="88" t="s">
        <v>308</v>
      </c>
      <c r="J18" s="89" t="s">
        <v>309</v>
      </c>
      <c r="K18" s="89" t="s">
        <v>310</v>
      </c>
      <c r="L18" s="89" t="s">
        <v>156</v>
      </c>
      <c r="M18" s="118"/>
      <c r="N18" s="90">
        <v>50000</v>
      </c>
      <c r="O18" s="91"/>
      <c r="P18" s="90"/>
      <c r="Q18" s="90"/>
      <c r="R18" s="90"/>
      <c r="S18" s="130"/>
      <c r="T18" s="130"/>
      <c r="U18" s="128">
        <f t="shared" si="0"/>
        <v>19766.064599999998</v>
      </c>
      <c r="V18" s="92">
        <f t="shared" si="1"/>
        <v>988303229.99999988</v>
      </c>
      <c r="W18" s="92">
        <f t="shared" si="2"/>
        <v>98830323</v>
      </c>
      <c r="X18" s="129">
        <v>1087133553</v>
      </c>
      <c r="Y18" s="115"/>
    </row>
    <row r="19" spans="1:25" s="94" customFormat="1" ht="30" customHeight="1">
      <c r="A19" s="85">
        <v>9</v>
      </c>
      <c r="B19" s="155" t="s">
        <v>57</v>
      </c>
      <c r="C19" s="126" t="s">
        <v>43</v>
      </c>
      <c r="D19" s="127" t="s">
        <v>51</v>
      </c>
      <c r="E19" s="127" t="s">
        <v>48</v>
      </c>
      <c r="F19" s="124" t="s">
        <v>59</v>
      </c>
      <c r="G19" s="88">
        <v>46205</v>
      </c>
      <c r="H19" s="87" t="s">
        <v>311</v>
      </c>
      <c r="I19" s="88" t="s">
        <v>312</v>
      </c>
      <c r="J19" s="89" t="s">
        <v>313</v>
      </c>
      <c r="K19" s="89" t="s">
        <v>314</v>
      </c>
      <c r="L19" s="89" t="s">
        <v>156</v>
      </c>
      <c r="M19" s="118"/>
      <c r="N19" s="90">
        <v>20000</v>
      </c>
      <c r="O19" s="91"/>
      <c r="P19" s="90"/>
      <c r="Q19" s="90"/>
      <c r="R19" s="90"/>
      <c r="S19" s="130"/>
      <c r="T19" s="130"/>
      <c r="U19" s="128">
        <f t="shared" si="0"/>
        <v>19819.959800000001</v>
      </c>
      <c r="V19" s="92">
        <f t="shared" si="1"/>
        <v>396399196</v>
      </c>
      <c r="W19" s="92">
        <f t="shared" si="2"/>
        <v>39639919.600000001</v>
      </c>
      <c r="X19" s="129">
        <v>436039115.60000002</v>
      </c>
      <c r="Y19" s="115"/>
    </row>
    <row r="20" spans="1:25" s="94" customFormat="1" ht="30" customHeight="1">
      <c r="A20" s="85">
        <v>10</v>
      </c>
      <c r="B20" s="155" t="s">
        <v>57</v>
      </c>
      <c r="C20" s="126" t="s">
        <v>43</v>
      </c>
      <c r="D20" s="127" t="s">
        <v>51</v>
      </c>
      <c r="E20" s="127" t="s">
        <v>48</v>
      </c>
      <c r="F20" s="124" t="s">
        <v>59</v>
      </c>
      <c r="G20" s="88">
        <v>46205</v>
      </c>
      <c r="H20" s="87" t="s">
        <v>479</v>
      </c>
      <c r="I20" s="88" t="s">
        <v>480</v>
      </c>
      <c r="J20" s="89" t="s">
        <v>481</v>
      </c>
      <c r="K20" s="89" t="s">
        <v>482</v>
      </c>
      <c r="L20" s="89" t="s">
        <v>156</v>
      </c>
      <c r="M20" s="118"/>
      <c r="N20" s="90">
        <v>334</v>
      </c>
      <c r="O20" s="91"/>
      <c r="P20" s="90"/>
      <c r="Q20" s="90"/>
      <c r="R20" s="90"/>
      <c r="S20" s="130"/>
      <c r="T20" s="130"/>
      <c r="U20" s="128">
        <f t="shared" si="0"/>
        <v>19766.064616222098</v>
      </c>
      <c r="V20" s="92">
        <f t="shared" si="1"/>
        <v>6601865.5818181811</v>
      </c>
      <c r="W20" s="92">
        <f t="shared" si="2"/>
        <v>660186.55818181811</v>
      </c>
      <c r="X20" s="129">
        <v>7262052.1399999997</v>
      </c>
      <c r="Y20" s="115"/>
    </row>
    <row r="21" spans="1:25" s="94" customFormat="1" ht="30" customHeight="1">
      <c r="A21" s="85">
        <v>11</v>
      </c>
      <c r="B21" s="155" t="s">
        <v>57</v>
      </c>
      <c r="C21" s="126" t="s">
        <v>43</v>
      </c>
      <c r="D21" s="127" t="s">
        <v>51</v>
      </c>
      <c r="E21" s="127" t="s">
        <v>48</v>
      </c>
      <c r="F21" s="124" t="s">
        <v>59</v>
      </c>
      <c r="G21" s="88">
        <v>46205</v>
      </c>
      <c r="H21" s="87" t="s">
        <v>491</v>
      </c>
      <c r="I21" s="88" t="s">
        <v>492</v>
      </c>
      <c r="J21" s="89" t="s">
        <v>493</v>
      </c>
      <c r="K21" s="89" t="s">
        <v>494</v>
      </c>
      <c r="L21" s="89" t="s">
        <v>156</v>
      </c>
      <c r="M21" s="118"/>
      <c r="N21" s="90">
        <v>1972</v>
      </c>
      <c r="O21" s="91"/>
      <c r="P21" s="90"/>
      <c r="Q21" s="90"/>
      <c r="R21" s="90"/>
      <c r="S21" s="130"/>
      <c r="T21" s="130"/>
      <c r="U21" s="128">
        <f t="shared" si="0"/>
        <v>19766.064599852478</v>
      </c>
      <c r="V21" s="92">
        <f t="shared" si="1"/>
        <v>38978679.390909083</v>
      </c>
      <c r="W21" s="92">
        <f t="shared" si="2"/>
        <v>3897867.9390909085</v>
      </c>
      <c r="X21" s="129">
        <v>42876547.329999998</v>
      </c>
      <c r="Y21" s="115"/>
    </row>
    <row r="22" spans="1:25" s="94" customFormat="1" ht="30" customHeight="1">
      <c r="A22" s="85">
        <v>12</v>
      </c>
      <c r="B22" s="155" t="s">
        <v>57</v>
      </c>
      <c r="C22" s="126" t="s">
        <v>43</v>
      </c>
      <c r="D22" s="127" t="s">
        <v>51</v>
      </c>
      <c r="E22" s="127" t="s">
        <v>48</v>
      </c>
      <c r="F22" s="124" t="s">
        <v>59</v>
      </c>
      <c r="G22" s="88">
        <v>46206</v>
      </c>
      <c r="H22" s="87" t="s">
        <v>495</v>
      </c>
      <c r="I22" s="88" t="s">
        <v>484</v>
      </c>
      <c r="J22" s="89" t="s">
        <v>499</v>
      </c>
      <c r="K22" s="89" t="s">
        <v>500</v>
      </c>
      <c r="L22" s="89" t="s">
        <v>339</v>
      </c>
      <c r="M22" s="118"/>
      <c r="N22" s="90">
        <v>5000</v>
      </c>
      <c r="O22" s="91"/>
      <c r="P22" s="90"/>
      <c r="Q22" s="90"/>
      <c r="R22" s="90"/>
      <c r="S22" s="130"/>
      <c r="T22" s="130"/>
      <c r="U22" s="128">
        <f t="shared" si="0"/>
        <v>19778.3874</v>
      </c>
      <c r="V22" s="92">
        <f>+X22/1.1</f>
        <v>98891937</v>
      </c>
      <c r="W22" s="92">
        <f t="shared" si="2"/>
        <v>9889193.7000000011</v>
      </c>
      <c r="X22" s="129">
        <v>108781130.7</v>
      </c>
      <c r="Y22" s="115"/>
    </row>
    <row r="23" spans="1:25" s="94" customFormat="1" ht="30" customHeight="1">
      <c r="A23" s="85">
        <v>13</v>
      </c>
      <c r="B23" s="155" t="s">
        <v>57</v>
      </c>
      <c r="C23" s="126" t="s">
        <v>43</v>
      </c>
      <c r="D23" s="127" t="s">
        <v>51</v>
      </c>
      <c r="E23" s="127" t="s">
        <v>48</v>
      </c>
      <c r="F23" s="124" t="s">
        <v>59</v>
      </c>
      <c r="G23" s="88">
        <v>46206</v>
      </c>
      <c r="H23" s="87" t="s">
        <v>501</v>
      </c>
      <c r="I23" s="88" t="s">
        <v>496</v>
      </c>
      <c r="J23" s="89" t="s">
        <v>530</v>
      </c>
      <c r="K23" s="89" t="s">
        <v>502</v>
      </c>
      <c r="L23" s="89" t="s">
        <v>339</v>
      </c>
      <c r="M23" s="118"/>
      <c r="N23" s="90">
        <v>25000</v>
      </c>
      <c r="O23" s="91"/>
      <c r="P23" s="90"/>
      <c r="Q23" s="90"/>
      <c r="R23" s="90"/>
      <c r="S23" s="130"/>
      <c r="T23" s="130"/>
      <c r="U23" s="128">
        <f t="shared" si="0"/>
        <v>19778.387399999996</v>
      </c>
      <c r="V23" s="92">
        <f t="shared" si="1"/>
        <v>494459684.99999994</v>
      </c>
      <c r="W23" s="92">
        <f t="shared" si="2"/>
        <v>49445968.5</v>
      </c>
      <c r="X23" s="129">
        <v>543905653.5</v>
      </c>
      <c r="Y23" s="115"/>
    </row>
    <row r="24" spans="1:25" s="94" customFormat="1" ht="30" customHeight="1">
      <c r="A24" s="85">
        <v>14</v>
      </c>
      <c r="B24" s="155" t="s">
        <v>57</v>
      </c>
      <c r="C24" s="126" t="s">
        <v>43</v>
      </c>
      <c r="D24" s="127" t="s">
        <v>51</v>
      </c>
      <c r="E24" s="127" t="s">
        <v>48</v>
      </c>
      <c r="F24" s="124" t="s">
        <v>59</v>
      </c>
      <c r="G24" s="88">
        <v>46206</v>
      </c>
      <c r="H24" s="87" t="s">
        <v>503</v>
      </c>
      <c r="I24" s="88" t="s">
        <v>497</v>
      </c>
      <c r="J24" s="89" t="s">
        <v>531</v>
      </c>
      <c r="K24" s="89" t="s">
        <v>504</v>
      </c>
      <c r="L24" s="89" t="s">
        <v>339</v>
      </c>
      <c r="M24" s="118"/>
      <c r="N24" s="90">
        <v>40000</v>
      </c>
      <c r="O24" s="91"/>
      <c r="P24" s="90"/>
      <c r="Q24" s="90"/>
      <c r="R24" s="90"/>
      <c r="S24" s="130"/>
      <c r="T24" s="130"/>
      <c r="U24" s="128">
        <f t="shared" si="0"/>
        <v>19832.316199999997</v>
      </c>
      <c r="V24" s="92">
        <f t="shared" si="1"/>
        <v>793292647.99999988</v>
      </c>
      <c r="W24" s="92">
        <f t="shared" si="2"/>
        <v>79329264.799999997</v>
      </c>
      <c r="X24" s="129">
        <v>872621912.79999995</v>
      </c>
      <c r="Y24" s="115"/>
    </row>
    <row r="25" spans="1:25" s="94" customFormat="1" ht="30" customHeight="1">
      <c r="A25" s="85">
        <v>15</v>
      </c>
      <c r="B25" s="199" t="s">
        <v>534</v>
      </c>
      <c r="C25" s="126" t="s">
        <v>43</v>
      </c>
      <c r="D25" s="127" t="s">
        <v>51</v>
      </c>
      <c r="E25" s="127" t="s">
        <v>48</v>
      </c>
      <c r="F25" s="124" t="s">
        <v>59</v>
      </c>
      <c r="G25" s="88">
        <v>46207</v>
      </c>
      <c r="H25" s="87" t="s">
        <v>528</v>
      </c>
      <c r="I25" s="88" t="s">
        <v>535</v>
      </c>
      <c r="J25" s="89" t="s">
        <v>529</v>
      </c>
      <c r="K25" s="89" t="s">
        <v>532</v>
      </c>
      <c r="L25" s="89" t="s">
        <v>533</v>
      </c>
      <c r="M25" s="118"/>
      <c r="N25" s="90">
        <v>20000</v>
      </c>
      <c r="O25" s="91"/>
      <c r="P25" s="90"/>
      <c r="Q25" s="90"/>
      <c r="R25" s="90"/>
      <c r="S25" s="130"/>
      <c r="T25" s="130"/>
      <c r="U25" s="128">
        <f t="shared" si="0"/>
        <v>19832.316199999997</v>
      </c>
      <c r="V25" s="92">
        <f t="shared" si="1"/>
        <v>396646323.99999994</v>
      </c>
      <c r="W25" s="92">
        <f t="shared" si="2"/>
        <v>39664632.399999999</v>
      </c>
      <c r="X25" s="129">
        <v>436310956.39999998</v>
      </c>
      <c r="Y25" s="115"/>
    </row>
    <row r="26" spans="1:25" s="94" customFormat="1" ht="30" customHeight="1">
      <c r="A26" s="85">
        <v>16</v>
      </c>
      <c r="B26" s="200" t="s">
        <v>536</v>
      </c>
      <c r="C26" s="126" t="s">
        <v>43</v>
      </c>
      <c r="D26" s="127" t="s">
        <v>51</v>
      </c>
      <c r="E26" s="127" t="s">
        <v>48</v>
      </c>
      <c r="F26" s="124" t="s">
        <v>537</v>
      </c>
      <c r="G26" s="88">
        <v>46207</v>
      </c>
      <c r="H26" s="87" t="s">
        <v>538</v>
      </c>
      <c r="I26" s="88" t="s">
        <v>523</v>
      </c>
      <c r="J26" s="89" t="s">
        <v>539</v>
      </c>
      <c r="K26" s="89" t="s">
        <v>540</v>
      </c>
      <c r="L26" s="89" t="s">
        <v>601</v>
      </c>
      <c r="M26" s="118"/>
      <c r="N26" s="90">
        <v>20000</v>
      </c>
      <c r="O26" s="91"/>
      <c r="P26" s="90"/>
      <c r="Q26" s="90"/>
      <c r="R26" s="90"/>
      <c r="S26" s="130"/>
      <c r="T26" s="130"/>
      <c r="U26" s="128">
        <f t="shared" si="0"/>
        <v>19778.3874</v>
      </c>
      <c r="V26" s="92">
        <f t="shared" si="1"/>
        <v>395567748</v>
      </c>
      <c r="W26" s="92">
        <f t="shared" si="2"/>
        <v>39556774.800000004</v>
      </c>
      <c r="X26" s="129">
        <v>435124522.80000001</v>
      </c>
      <c r="Y26" s="115"/>
    </row>
    <row r="27" spans="1:25" s="94" customFormat="1" ht="30" customHeight="1">
      <c r="A27" s="85">
        <v>17</v>
      </c>
      <c r="B27" s="155" t="s">
        <v>57</v>
      </c>
      <c r="C27" s="126" t="s">
        <v>43</v>
      </c>
      <c r="D27" s="127" t="s">
        <v>51</v>
      </c>
      <c r="E27" s="127" t="s">
        <v>48</v>
      </c>
      <c r="F27" s="124" t="s">
        <v>59</v>
      </c>
      <c r="G27" s="88">
        <v>46206</v>
      </c>
      <c r="H27" s="87" t="s">
        <v>559</v>
      </c>
      <c r="I27" s="88" t="s">
        <v>565</v>
      </c>
      <c r="J27" s="89" t="s">
        <v>560</v>
      </c>
      <c r="K27" s="89" t="s">
        <v>561</v>
      </c>
      <c r="L27" s="89" t="s">
        <v>339</v>
      </c>
      <c r="M27" s="118"/>
      <c r="N27" s="90">
        <v>138</v>
      </c>
      <c r="O27" s="91"/>
      <c r="P27" s="90"/>
      <c r="Q27" s="90"/>
      <c r="R27" s="90"/>
      <c r="S27" s="130"/>
      <c r="T27" s="90"/>
      <c r="U27" s="128">
        <f t="shared" si="0"/>
        <v>19778.387417654809</v>
      </c>
      <c r="V27" s="92">
        <f t="shared" si="1"/>
        <v>2729417.4636363634</v>
      </c>
      <c r="W27" s="92">
        <f t="shared" si="2"/>
        <v>272941.74636363634</v>
      </c>
      <c r="X27" s="129">
        <v>3002359.21</v>
      </c>
      <c r="Y27" s="115"/>
    </row>
    <row r="28" spans="1:25" s="94" customFormat="1" ht="30" customHeight="1">
      <c r="A28" s="85">
        <v>18</v>
      </c>
      <c r="B28" s="155" t="s">
        <v>57</v>
      </c>
      <c r="C28" s="126" t="s">
        <v>43</v>
      </c>
      <c r="D28" s="127" t="s">
        <v>51</v>
      </c>
      <c r="E28" s="127" t="s">
        <v>48</v>
      </c>
      <c r="F28" s="124" t="s">
        <v>59</v>
      </c>
      <c r="G28" s="88">
        <v>46206</v>
      </c>
      <c r="H28" s="87" t="s">
        <v>562</v>
      </c>
      <c r="I28" s="88" t="s">
        <v>566</v>
      </c>
      <c r="J28" s="89" t="s">
        <v>563</v>
      </c>
      <c r="K28" s="89" t="s">
        <v>564</v>
      </c>
      <c r="L28" s="89" t="s">
        <v>339</v>
      </c>
      <c r="M28" s="118"/>
      <c r="N28" s="90">
        <v>1485</v>
      </c>
      <c r="O28" s="91"/>
      <c r="P28" s="90"/>
      <c r="Q28" s="90"/>
      <c r="R28" s="90"/>
      <c r="S28" s="130"/>
      <c r="T28" s="130"/>
      <c r="U28" s="128">
        <f t="shared" si="0"/>
        <v>19778.387401285581</v>
      </c>
      <c r="V28" s="92">
        <f t="shared" si="1"/>
        <v>29370905.290909089</v>
      </c>
      <c r="W28" s="92">
        <f t="shared" si="2"/>
        <v>2937090.5290909093</v>
      </c>
      <c r="X28" s="129">
        <v>32307995.82</v>
      </c>
      <c r="Y28" s="115"/>
    </row>
    <row r="29" spans="1:25" s="94" customFormat="1" ht="30" customHeight="1">
      <c r="A29" s="85">
        <v>19</v>
      </c>
      <c r="B29" s="155" t="s">
        <v>57</v>
      </c>
      <c r="C29" s="126" t="s">
        <v>43</v>
      </c>
      <c r="D29" s="127" t="s">
        <v>51</v>
      </c>
      <c r="E29" s="127" t="s">
        <v>48</v>
      </c>
      <c r="F29" s="124" t="s">
        <v>59</v>
      </c>
      <c r="G29" s="88">
        <v>46207</v>
      </c>
      <c r="H29" s="87" t="s">
        <v>589</v>
      </c>
      <c r="I29" s="88" t="s">
        <v>590</v>
      </c>
      <c r="J29" s="89" t="s">
        <v>591</v>
      </c>
      <c r="K29" s="89" t="s">
        <v>592</v>
      </c>
      <c r="L29" s="89" t="s">
        <v>601</v>
      </c>
      <c r="M29" s="118"/>
      <c r="N29" s="90">
        <v>5000</v>
      </c>
      <c r="O29" s="91"/>
      <c r="P29" s="90"/>
      <c r="Q29" s="90"/>
      <c r="R29" s="90"/>
      <c r="S29" s="130"/>
      <c r="T29" s="130"/>
      <c r="U29" s="128">
        <f t="shared" si="0"/>
        <v>19778.3874</v>
      </c>
      <c r="V29" s="92">
        <f t="shared" si="1"/>
        <v>98891937</v>
      </c>
      <c r="W29" s="92">
        <f t="shared" si="2"/>
        <v>9889193.7000000011</v>
      </c>
      <c r="X29" s="129">
        <v>108781130.7</v>
      </c>
      <c r="Y29" s="115"/>
    </row>
    <row r="30" spans="1:25" s="94" customFormat="1" ht="30" customHeight="1">
      <c r="A30" s="85">
        <v>20</v>
      </c>
      <c r="B30" s="155" t="s">
        <v>57</v>
      </c>
      <c r="C30" s="126" t="s">
        <v>43</v>
      </c>
      <c r="D30" s="127" t="s">
        <v>51</v>
      </c>
      <c r="E30" s="127" t="s">
        <v>48</v>
      </c>
      <c r="F30" s="124" t="s">
        <v>59</v>
      </c>
      <c r="G30" s="88">
        <v>46207</v>
      </c>
      <c r="H30" s="87" t="s">
        <v>593</v>
      </c>
      <c r="I30" s="88" t="s">
        <v>594</v>
      </c>
      <c r="J30" s="89" t="s">
        <v>595</v>
      </c>
      <c r="K30" s="89" t="s">
        <v>596</v>
      </c>
      <c r="L30" s="89" t="s">
        <v>601</v>
      </c>
      <c r="M30" s="118"/>
      <c r="N30" s="90">
        <v>25000</v>
      </c>
      <c r="O30" s="91"/>
      <c r="P30" s="90"/>
      <c r="Q30" s="90"/>
      <c r="R30" s="90"/>
      <c r="S30" s="130"/>
      <c r="T30" s="130"/>
      <c r="U30" s="128">
        <f t="shared" si="0"/>
        <v>19778.387399999996</v>
      </c>
      <c r="V30" s="92">
        <f t="shared" si="1"/>
        <v>494459684.99999994</v>
      </c>
      <c r="W30" s="92">
        <f t="shared" si="2"/>
        <v>49445968.5</v>
      </c>
      <c r="X30" s="129">
        <v>543905653.5</v>
      </c>
      <c r="Y30" s="115"/>
    </row>
    <row r="31" spans="1:25" s="94" customFormat="1" ht="30" customHeight="1">
      <c r="A31" s="85">
        <v>21</v>
      </c>
      <c r="B31" s="155" t="s">
        <v>57</v>
      </c>
      <c r="C31" s="126" t="s">
        <v>43</v>
      </c>
      <c r="D31" s="127" t="s">
        <v>51</v>
      </c>
      <c r="E31" s="127" t="s">
        <v>48</v>
      </c>
      <c r="F31" s="124" t="s">
        <v>59</v>
      </c>
      <c r="G31" s="88">
        <v>46207</v>
      </c>
      <c r="H31" s="87" t="s">
        <v>597</v>
      </c>
      <c r="I31" s="88" t="s">
        <v>598</v>
      </c>
      <c r="J31" s="89" t="s">
        <v>599</v>
      </c>
      <c r="K31" s="89" t="s">
        <v>600</v>
      </c>
      <c r="L31" s="89" t="s">
        <v>601</v>
      </c>
      <c r="M31" s="118"/>
      <c r="N31" s="90">
        <v>10000</v>
      </c>
      <c r="O31" s="91"/>
      <c r="P31" s="90"/>
      <c r="Q31" s="90"/>
      <c r="R31" s="90"/>
      <c r="S31" s="130"/>
      <c r="T31" s="90"/>
      <c r="U31" s="128">
        <f t="shared" si="0"/>
        <v>19778.3874</v>
      </c>
      <c r="V31" s="92">
        <f t="shared" si="1"/>
        <v>197783874</v>
      </c>
      <c r="W31" s="92">
        <f t="shared" si="2"/>
        <v>19778387.400000002</v>
      </c>
      <c r="X31" s="129">
        <v>217562261.40000001</v>
      </c>
      <c r="Y31" s="115"/>
    </row>
    <row r="32" spans="1:25" s="94" customFormat="1" ht="30" customHeight="1">
      <c r="A32" s="85">
        <v>22</v>
      </c>
      <c r="B32" s="155" t="s">
        <v>57</v>
      </c>
      <c r="C32" s="126" t="s">
        <v>43</v>
      </c>
      <c r="D32" s="127" t="s">
        <v>51</v>
      </c>
      <c r="E32" s="127" t="s">
        <v>48</v>
      </c>
      <c r="F32" s="124" t="s">
        <v>59</v>
      </c>
      <c r="G32" s="88">
        <v>46207</v>
      </c>
      <c r="H32" s="87" t="s">
        <v>602</v>
      </c>
      <c r="I32" s="88" t="s">
        <v>603</v>
      </c>
      <c r="J32" s="89" t="s">
        <v>604</v>
      </c>
      <c r="K32" s="89" t="s">
        <v>605</v>
      </c>
      <c r="L32" s="89" t="s">
        <v>533</v>
      </c>
      <c r="M32" s="118"/>
      <c r="N32" s="90">
        <v>60000</v>
      </c>
      <c r="O32" s="91"/>
      <c r="P32" s="90"/>
      <c r="Q32" s="90"/>
      <c r="R32" s="90"/>
      <c r="S32" s="130"/>
      <c r="T32" s="90"/>
      <c r="U32" s="128">
        <f t="shared" si="0"/>
        <v>19832.316200000001</v>
      </c>
      <c r="V32" s="92">
        <f t="shared" si="1"/>
        <v>1189938972</v>
      </c>
      <c r="W32" s="92">
        <f t="shared" si="2"/>
        <v>118993897.2</v>
      </c>
      <c r="X32" s="129">
        <v>1308932869.2</v>
      </c>
      <c r="Y32" s="115"/>
    </row>
    <row r="33" spans="1:25" s="94" customFormat="1" ht="30" customHeight="1">
      <c r="A33" s="85">
        <v>23</v>
      </c>
      <c r="B33" s="155" t="s">
        <v>57</v>
      </c>
      <c r="C33" s="126" t="s">
        <v>43</v>
      </c>
      <c r="D33" s="127" t="s">
        <v>51</v>
      </c>
      <c r="E33" s="127" t="s">
        <v>48</v>
      </c>
      <c r="F33" s="124" t="s">
        <v>59</v>
      </c>
      <c r="G33" s="88">
        <v>46208</v>
      </c>
      <c r="H33" s="87" t="s">
        <v>611</v>
      </c>
      <c r="I33" s="88" t="s">
        <v>612</v>
      </c>
      <c r="J33" s="89" t="s">
        <v>613</v>
      </c>
      <c r="K33" s="89" t="s">
        <v>614</v>
      </c>
      <c r="L33" s="89" t="s">
        <v>615</v>
      </c>
      <c r="M33" s="118"/>
      <c r="N33" s="90">
        <v>10000</v>
      </c>
      <c r="O33" s="91"/>
      <c r="P33" s="90"/>
      <c r="Q33" s="90"/>
      <c r="R33" s="90"/>
      <c r="S33" s="130"/>
      <c r="T33" s="90"/>
      <c r="U33" s="128">
        <f t="shared" si="0"/>
        <v>19778.3874</v>
      </c>
      <c r="V33" s="92">
        <f t="shared" si="1"/>
        <v>197783874</v>
      </c>
      <c r="W33" s="92">
        <f t="shared" si="2"/>
        <v>19778387.400000002</v>
      </c>
      <c r="X33" s="129">
        <v>217562261.40000001</v>
      </c>
      <c r="Y33" s="115"/>
    </row>
    <row r="34" spans="1:25" s="94" customFormat="1" ht="30" customHeight="1">
      <c r="A34" s="85">
        <v>24</v>
      </c>
      <c r="B34" s="215" t="s">
        <v>534</v>
      </c>
      <c r="C34" s="126" t="s">
        <v>43</v>
      </c>
      <c r="D34" s="127" t="s">
        <v>51</v>
      </c>
      <c r="E34" s="127" t="s">
        <v>48</v>
      </c>
      <c r="F34" s="124" t="s">
        <v>59</v>
      </c>
      <c r="G34" s="88">
        <v>46209</v>
      </c>
      <c r="H34" s="87" t="s">
        <v>619</v>
      </c>
      <c r="I34" s="88" t="s">
        <v>620</v>
      </c>
      <c r="J34" s="89" t="s">
        <v>621</v>
      </c>
      <c r="K34" s="89" t="s">
        <v>622</v>
      </c>
      <c r="L34" s="89" t="s">
        <v>551</v>
      </c>
      <c r="M34" s="118"/>
      <c r="N34" s="90">
        <v>20000</v>
      </c>
      <c r="O34" s="91"/>
      <c r="P34" s="90"/>
      <c r="Q34" s="90"/>
      <c r="R34" s="90"/>
      <c r="S34" s="130"/>
      <c r="T34" s="130"/>
      <c r="U34" s="128">
        <f t="shared" si="0"/>
        <v>20233.799999999996</v>
      </c>
      <c r="V34" s="92">
        <f t="shared" si="1"/>
        <v>404675999.99999994</v>
      </c>
      <c r="W34" s="92">
        <f t="shared" si="2"/>
        <v>40467600</v>
      </c>
      <c r="X34" s="129">
        <v>445143600</v>
      </c>
      <c r="Y34" s="115"/>
    </row>
    <row r="35" spans="1:25" s="94" customFormat="1" ht="30" customHeight="1">
      <c r="A35" s="85">
        <v>25</v>
      </c>
      <c r="B35" s="215" t="s">
        <v>534</v>
      </c>
      <c r="C35" s="126" t="s">
        <v>43</v>
      </c>
      <c r="D35" s="127" t="s">
        <v>51</v>
      </c>
      <c r="E35" s="127" t="s">
        <v>48</v>
      </c>
      <c r="F35" s="124" t="s">
        <v>59</v>
      </c>
      <c r="G35" s="88">
        <v>46209</v>
      </c>
      <c r="H35" s="87" t="s">
        <v>1016</v>
      </c>
      <c r="I35" s="88" t="s">
        <v>1017</v>
      </c>
      <c r="J35" s="89" t="s">
        <v>2727</v>
      </c>
      <c r="K35" s="89" t="s">
        <v>622</v>
      </c>
      <c r="L35" s="89" t="s">
        <v>551</v>
      </c>
      <c r="M35" s="118"/>
      <c r="N35" s="90">
        <v>20000</v>
      </c>
      <c r="O35" s="91"/>
      <c r="P35" s="90"/>
      <c r="Q35" s="90"/>
      <c r="R35" s="90"/>
      <c r="S35" s="130"/>
      <c r="T35" s="130"/>
      <c r="U35" s="128">
        <f>+V35/N35</f>
        <v>20233.799999999996</v>
      </c>
      <c r="V35" s="92">
        <f>+X35/1.1</f>
        <v>404675999.99999994</v>
      </c>
      <c r="W35" s="92">
        <f>V35*10%</f>
        <v>40467600</v>
      </c>
      <c r="X35" s="129">
        <v>445143600</v>
      </c>
      <c r="Y35" s="115"/>
    </row>
    <row r="36" spans="1:25" s="94" customFormat="1" ht="30" customHeight="1">
      <c r="A36" s="85">
        <v>26</v>
      </c>
      <c r="B36" s="155" t="s">
        <v>57</v>
      </c>
      <c r="C36" s="126" t="s">
        <v>43</v>
      </c>
      <c r="D36" s="127" t="s">
        <v>51</v>
      </c>
      <c r="E36" s="127" t="s">
        <v>48</v>
      </c>
      <c r="F36" s="124" t="s">
        <v>59</v>
      </c>
      <c r="G36" s="88">
        <v>46209</v>
      </c>
      <c r="H36" s="87" t="s">
        <v>623</v>
      </c>
      <c r="I36" s="88" t="s">
        <v>624</v>
      </c>
      <c r="J36" s="89" t="s">
        <v>625</v>
      </c>
      <c r="K36" s="89" t="s">
        <v>626</v>
      </c>
      <c r="L36" s="89" t="s">
        <v>551</v>
      </c>
      <c r="M36" s="118"/>
      <c r="N36" s="90">
        <v>10000</v>
      </c>
      <c r="O36" s="91"/>
      <c r="P36" s="90"/>
      <c r="Q36" s="90"/>
      <c r="R36" s="90"/>
      <c r="S36" s="130"/>
      <c r="T36" s="130"/>
      <c r="U36" s="128">
        <f t="shared" si="0"/>
        <v>20436.137999999995</v>
      </c>
      <c r="V36" s="92">
        <f>+X36/1.1</f>
        <v>204361379.99999997</v>
      </c>
      <c r="W36" s="92">
        <f t="shared" si="2"/>
        <v>20436138</v>
      </c>
      <c r="X36" s="129">
        <v>224797518</v>
      </c>
      <c r="Y36" s="115"/>
    </row>
    <row r="37" spans="1:25" s="94" customFormat="1" ht="30" customHeight="1">
      <c r="A37" s="85">
        <v>27</v>
      </c>
      <c r="B37" s="155" t="s">
        <v>57</v>
      </c>
      <c r="C37" s="126" t="s">
        <v>43</v>
      </c>
      <c r="D37" s="127" t="s">
        <v>51</v>
      </c>
      <c r="E37" s="127" t="s">
        <v>48</v>
      </c>
      <c r="F37" s="124" t="s">
        <v>59</v>
      </c>
      <c r="G37" s="88">
        <v>46207</v>
      </c>
      <c r="H37" s="87" t="s">
        <v>634</v>
      </c>
      <c r="I37" s="88" t="s">
        <v>635</v>
      </c>
      <c r="J37" s="89" t="s">
        <v>636</v>
      </c>
      <c r="K37" s="89" t="s">
        <v>637</v>
      </c>
      <c r="L37" s="89" t="s">
        <v>601</v>
      </c>
      <c r="M37" s="118"/>
      <c r="N37" s="90">
        <v>2720</v>
      </c>
      <c r="O37" s="91"/>
      <c r="P37" s="90"/>
      <c r="Q37" s="90"/>
      <c r="R37" s="90"/>
      <c r="S37" s="130"/>
      <c r="T37" s="130"/>
      <c r="U37" s="128">
        <f t="shared" si="0"/>
        <v>19778.387399732619</v>
      </c>
      <c r="V37" s="92">
        <f t="shared" si="1"/>
        <v>53797213.727272727</v>
      </c>
      <c r="W37" s="92">
        <f t="shared" si="2"/>
        <v>5379721.372727273</v>
      </c>
      <c r="X37" s="129">
        <v>59176935.100000001</v>
      </c>
      <c r="Y37" s="115"/>
    </row>
    <row r="38" spans="1:25" s="94" customFormat="1" ht="30" customHeight="1">
      <c r="A38" s="85">
        <v>28</v>
      </c>
      <c r="B38" s="155" t="s">
        <v>57</v>
      </c>
      <c r="C38" s="126" t="s">
        <v>43</v>
      </c>
      <c r="D38" s="127" t="s">
        <v>51</v>
      </c>
      <c r="E38" s="127" t="s">
        <v>48</v>
      </c>
      <c r="F38" s="124" t="s">
        <v>59</v>
      </c>
      <c r="G38" s="88">
        <v>46207</v>
      </c>
      <c r="H38" s="87" t="s">
        <v>638</v>
      </c>
      <c r="I38" s="88" t="s">
        <v>639</v>
      </c>
      <c r="J38" s="89" t="s">
        <v>640</v>
      </c>
      <c r="K38" s="89" t="s">
        <v>641</v>
      </c>
      <c r="L38" s="89" t="s">
        <v>533</v>
      </c>
      <c r="M38" s="118"/>
      <c r="N38" s="90">
        <v>283</v>
      </c>
      <c r="O38" s="91"/>
      <c r="P38" s="90"/>
      <c r="Q38" s="90"/>
      <c r="R38" s="90"/>
      <c r="S38" s="130"/>
      <c r="T38" s="130"/>
      <c r="U38" s="128">
        <f t="shared" si="0"/>
        <v>19778.387375522005</v>
      </c>
      <c r="V38" s="92">
        <f t="shared" si="1"/>
        <v>5597283.627272727</v>
      </c>
      <c r="W38" s="92">
        <f t="shared" si="2"/>
        <v>559728.36272727267</v>
      </c>
      <c r="X38" s="129">
        <v>6157011.9900000002</v>
      </c>
      <c r="Y38" s="115"/>
    </row>
    <row r="39" spans="1:25" s="94" customFormat="1" ht="30" customHeight="1">
      <c r="A39" s="85">
        <v>29</v>
      </c>
      <c r="B39" s="155" t="s">
        <v>57</v>
      </c>
      <c r="C39" s="126" t="s">
        <v>43</v>
      </c>
      <c r="D39" s="127" t="s">
        <v>51</v>
      </c>
      <c r="E39" s="127" t="s">
        <v>48</v>
      </c>
      <c r="F39" s="124" t="s">
        <v>59</v>
      </c>
      <c r="G39" s="88">
        <v>46208</v>
      </c>
      <c r="H39" s="87" t="s">
        <v>642</v>
      </c>
      <c r="I39" s="88" t="s">
        <v>643</v>
      </c>
      <c r="J39" s="89" t="s">
        <v>644</v>
      </c>
      <c r="K39" s="89" t="s">
        <v>645</v>
      </c>
      <c r="L39" s="89" t="s">
        <v>615</v>
      </c>
      <c r="M39" s="118"/>
      <c r="N39" s="90">
        <v>412</v>
      </c>
      <c r="O39" s="91"/>
      <c r="P39" s="90"/>
      <c r="Q39" s="90"/>
      <c r="R39" s="90"/>
      <c r="S39" s="130"/>
      <c r="T39" s="130"/>
      <c r="U39" s="128">
        <f t="shared" si="0"/>
        <v>19778.387400706088</v>
      </c>
      <c r="V39" s="92">
        <f t="shared" si="1"/>
        <v>8148695.6090909084</v>
      </c>
      <c r="W39" s="92">
        <f t="shared" si="2"/>
        <v>814869.56090909091</v>
      </c>
      <c r="X39" s="129">
        <v>8963565.1699999999</v>
      </c>
      <c r="Y39" s="115"/>
    </row>
    <row r="40" spans="1:25" s="94" customFormat="1" ht="30" customHeight="1">
      <c r="A40" s="85">
        <v>30</v>
      </c>
      <c r="B40" s="155" t="s">
        <v>57</v>
      </c>
      <c r="C40" s="126" t="s">
        <v>43</v>
      </c>
      <c r="D40" s="127" t="s">
        <v>51</v>
      </c>
      <c r="E40" s="127" t="s">
        <v>48</v>
      </c>
      <c r="F40" s="124" t="s">
        <v>59</v>
      </c>
      <c r="G40" s="88">
        <v>46209</v>
      </c>
      <c r="H40" s="87" t="s">
        <v>692</v>
      </c>
      <c r="I40" s="88" t="s">
        <v>693</v>
      </c>
      <c r="J40" s="89" t="s">
        <v>2728</v>
      </c>
      <c r="K40" s="89" t="s">
        <v>694</v>
      </c>
      <c r="L40" s="89" t="s">
        <v>551</v>
      </c>
      <c r="M40" s="118"/>
      <c r="N40" s="90">
        <v>60000</v>
      </c>
      <c r="O40" s="91"/>
      <c r="P40" s="90"/>
      <c r="Q40" s="90"/>
      <c r="R40" s="90"/>
      <c r="S40" s="130"/>
      <c r="T40" s="130"/>
      <c r="U40" s="128">
        <f t="shared" si="0"/>
        <v>20233.8</v>
      </c>
      <c r="V40" s="92">
        <f>+X40/1.1</f>
        <v>1214028000</v>
      </c>
      <c r="W40" s="92">
        <f t="shared" si="2"/>
        <v>121402800</v>
      </c>
      <c r="X40" s="129">
        <v>1335430800</v>
      </c>
      <c r="Y40" s="115"/>
    </row>
    <row r="41" spans="1:25" s="94" customFormat="1" ht="30" customHeight="1">
      <c r="A41" s="85">
        <v>31</v>
      </c>
      <c r="B41" s="155" t="s">
        <v>57</v>
      </c>
      <c r="C41" s="126" t="s">
        <v>43</v>
      </c>
      <c r="D41" s="127" t="s">
        <v>51</v>
      </c>
      <c r="E41" s="127" t="s">
        <v>48</v>
      </c>
      <c r="F41" s="124" t="s">
        <v>59</v>
      </c>
      <c r="G41" s="88">
        <v>46209</v>
      </c>
      <c r="H41" s="87" t="s">
        <v>701</v>
      </c>
      <c r="I41" s="88" t="s">
        <v>695</v>
      </c>
      <c r="J41" s="89" t="s">
        <v>2734</v>
      </c>
      <c r="K41" s="89" t="s">
        <v>702</v>
      </c>
      <c r="L41" s="89" t="s">
        <v>551</v>
      </c>
      <c r="M41" s="118"/>
      <c r="N41" s="90">
        <v>5000</v>
      </c>
      <c r="O41" s="91"/>
      <c r="P41" s="90"/>
      <c r="Q41" s="90"/>
      <c r="R41" s="90"/>
      <c r="S41" s="130"/>
      <c r="T41" s="130"/>
      <c r="U41" s="128">
        <f t="shared" si="0"/>
        <v>20179.843199999996</v>
      </c>
      <c r="V41" s="92">
        <f t="shared" si="1"/>
        <v>100899215.99999999</v>
      </c>
      <c r="W41" s="92">
        <f t="shared" si="2"/>
        <v>10089921.6</v>
      </c>
      <c r="X41" s="129">
        <v>110989137.59999999</v>
      </c>
      <c r="Y41" s="115"/>
    </row>
    <row r="42" spans="1:25" s="94" customFormat="1" ht="30" customHeight="1">
      <c r="A42" s="85">
        <v>32</v>
      </c>
      <c r="B42" s="155" t="s">
        <v>57</v>
      </c>
      <c r="C42" s="126" t="s">
        <v>43</v>
      </c>
      <c r="D42" s="127" t="s">
        <v>51</v>
      </c>
      <c r="E42" s="127" t="s">
        <v>48</v>
      </c>
      <c r="F42" s="124" t="s">
        <v>59</v>
      </c>
      <c r="G42" s="88">
        <v>46209</v>
      </c>
      <c r="H42" s="87" t="s">
        <v>703</v>
      </c>
      <c r="I42" s="88" t="s">
        <v>696</v>
      </c>
      <c r="J42" s="89" t="s">
        <v>2729</v>
      </c>
      <c r="K42" s="88" t="s">
        <v>704</v>
      </c>
      <c r="L42" s="89" t="s">
        <v>551</v>
      </c>
      <c r="M42" s="118"/>
      <c r="N42" s="90">
        <v>5000</v>
      </c>
      <c r="O42" s="91"/>
      <c r="P42" s="90"/>
      <c r="Q42" s="90"/>
      <c r="R42" s="90"/>
      <c r="S42" s="130"/>
      <c r="T42" s="130"/>
      <c r="U42" s="128">
        <f t="shared" si="0"/>
        <v>20179.843199999996</v>
      </c>
      <c r="V42" s="92">
        <f t="shared" si="1"/>
        <v>100899215.99999999</v>
      </c>
      <c r="W42" s="92">
        <f t="shared" si="2"/>
        <v>10089921.6</v>
      </c>
      <c r="X42" s="274">
        <v>110989137.59999999</v>
      </c>
      <c r="Y42" s="115"/>
    </row>
    <row r="43" spans="1:25" s="94" customFormat="1" ht="30" customHeight="1">
      <c r="A43" s="85">
        <v>33</v>
      </c>
      <c r="B43" s="155" t="s">
        <v>57</v>
      </c>
      <c r="C43" s="126" t="s">
        <v>43</v>
      </c>
      <c r="D43" s="127" t="s">
        <v>51</v>
      </c>
      <c r="E43" s="127" t="s">
        <v>48</v>
      </c>
      <c r="F43" s="124" t="s">
        <v>59</v>
      </c>
      <c r="G43" s="88">
        <v>46209</v>
      </c>
      <c r="H43" s="87" t="s">
        <v>705</v>
      </c>
      <c r="I43" s="88" t="s">
        <v>697</v>
      </c>
      <c r="J43" s="89" t="s">
        <v>2730</v>
      </c>
      <c r="K43" s="89" t="s">
        <v>706</v>
      </c>
      <c r="L43" s="89" t="s">
        <v>551</v>
      </c>
      <c r="M43" s="118"/>
      <c r="N43" s="90">
        <v>25000</v>
      </c>
      <c r="O43" s="91"/>
      <c r="P43" s="90"/>
      <c r="Q43" s="90"/>
      <c r="R43" s="90"/>
      <c r="S43" s="130"/>
      <c r="T43" s="130"/>
      <c r="U43" s="128">
        <f t="shared" si="0"/>
        <v>20179.843199999999</v>
      </c>
      <c r="V43" s="92">
        <f t="shared" si="1"/>
        <v>504496079.99999994</v>
      </c>
      <c r="W43" s="92">
        <f t="shared" si="2"/>
        <v>50449608</v>
      </c>
      <c r="X43" s="129">
        <v>554945688</v>
      </c>
      <c r="Y43" s="115"/>
    </row>
    <row r="44" spans="1:25" s="94" customFormat="1" ht="30" customHeight="1">
      <c r="A44" s="85">
        <v>34</v>
      </c>
      <c r="B44" s="155" t="s">
        <v>57</v>
      </c>
      <c r="C44" s="126" t="s">
        <v>43</v>
      </c>
      <c r="D44" s="127" t="s">
        <v>51</v>
      </c>
      <c r="E44" s="127" t="s">
        <v>48</v>
      </c>
      <c r="F44" s="124" t="s">
        <v>59</v>
      </c>
      <c r="G44" s="88">
        <v>46209</v>
      </c>
      <c r="H44" s="87" t="s">
        <v>707</v>
      </c>
      <c r="I44" s="88" t="s">
        <v>698</v>
      </c>
      <c r="J44" s="89" t="s">
        <v>2731</v>
      </c>
      <c r="K44" s="89" t="s">
        <v>708</v>
      </c>
      <c r="L44" s="89" t="s">
        <v>551</v>
      </c>
      <c r="M44" s="118"/>
      <c r="N44" s="90">
        <v>60000</v>
      </c>
      <c r="O44" s="91"/>
      <c r="P44" s="90"/>
      <c r="Q44" s="90"/>
      <c r="R44" s="90"/>
      <c r="S44" s="130"/>
      <c r="T44" s="130"/>
      <c r="U44" s="128">
        <f t="shared" si="0"/>
        <v>20179.843199999999</v>
      </c>
      <c r="V44" s="92">
        <f t="shared" si="1"/>
        <v>1210790592</v>
      </c>
      <c r="W44" s="92">
        <f t="shared" si="2"/>
        <v>121079059.2</v>
      </c>
      <c r="X44" s="129">
        <v>1331869651.2</v>
      </c>
      <c r="Y44" s="115"/>
    </row>
    <row r="45" spans="1:25" s="94" customFormat="1" ht="30" customHeight="1">
      <c r="A45" s="85">
        <v>35</v>
      </c>
      <c r="B45" s="155" t="s">
        <v>57</v>
      </c>
      <c r="C45" s="126" t="s">
        <v>43</v>
      </c>
      <c r="D45" s="127" t="s">
        <v>51</v>
      </c>
      <c r="E45" s="127" t="s">
        <v>48</v>
      </c>
      <c r="F45" s="124" t="s">
        <v>59</v>
      </c>
      <c r="G45" s="88">
        <v>46209</v>
      </c>
      <c r="H45" s="87" t="s">
        <v>709</v>
      </c>
      <c r="I45" s="88" t="s">
        <v>699</v>
      </c>
      <c r="J45" s="89" t="s">
        <v>2732</v>
      </c>
      <c r="K45" s="89" t="s">
        <v>710</v>
      </c>
      <c r="L45" s="89" t="s">
        <v>551</v>
      </c>
      <c r="M45" s="118"/>
      <c r="N45" s="90">
        <v>280</v>
      </c>
      <c r="O45" s="91"/>
      <c r="P45" s="90"/>
      <c r="Q45" s="90"/>
      <c r="R45" s="90"/>
      <c r="S45" s="130"/>
      <c r="T45" s="130"/>
      <c r="U45" s="128">
        <f t="shared" si="0"/>
        <v>20179.843214285713</v>
      </c>
      <c r="V45" s="92">
        <f t="shared" si="1"/>
        <v>5650356.0999999996</v>
      </c>
      <c r="W45" s="92">
        <f t="shared" si="2"/>
        <v>565035.61</v>
      </c>
      <c r="X45" s="129">
        <v>6215391.71</v>
      </c>
      <c r="Y45" s="115"/>
    </row>
    <row r="46" spans="1:25" s="94" customFormat="1" ht="30" customHeight="1">
      <c r="A46" s="85">
        <v>36</v>
      </c>
      <c r="B46" s="155" t="s">
        <v>57</v>
      </c>
      <c r="C46" s="126" t="s">
        <v>43</v>
      </c>
      <c r="D46" s="127" t="s">
        <v>51</v>
      </c>
      <c r="E46" s="127" t="s">
        <v>48</v>
      </c>
      <c r="F46" s="124" t="s">
        <v>59</v>
      </c>
      <c r="G46" s="88">
        <v>46209</v>
      </c>
      <c r="H46" s="87" t="s">
        <v>711</v>
      </c>
      <c r="I46" s="88" t="s">
        <v>700</v>
      </c>
      <c r="J46" s="89" t="s">
        <v>2733</v>
      </c>
      <c r="K46" s="89" t="s">
        <v>712</v>
      </c>
      <c r="L46" s="89" t="s">
        <v>551</v>
      </c>
      <c r="M46" s="118"/>
      <c r="N46" s="90">
        <v>1453</v>
      </c>
      <c r="O46" s="91"/>
      <c r="P46" s="90"/>
      <c r="Q46" s="90"/>
      <c r="R46" s="90"/>
      <c r="S46" s="130"/>
      <c r="T46" s="130"/>
      <c r="U46" s="128">
        <f t="shared" si="0"/>
        <v>20179.217537383469</v>
      </c>
      <c r="V46" s="92">
        <f t="shared" si="1"/>
        <v>29320403.081818178</v>
      </c>
      <c r="W46" s="92">
        <f t="shared" si="2"/>
        <v>2932040.3081818181</v>
      </c>
      <c r="X46" s="129">
        <v>32252443.390000001</v>
      </c>
      <c r="Y46" s="115"/>
    </row>
    <row r="47" spans="1:25" s="94" customFormat="1" ht="30" customHeight="1">
      <c r="A47" s="85">
        <v>37</v>
      </c>
      <c r="B47" s="155" t="s">
        <v>57</v>
      </c>
      <c r="C47" s="126" t="s">
        <v>43</v>
      </c>
      <c r="D47" s="127" t="s">
        <v>51</v>
      </c>
      <c r="E47" s="127" t="s">
        <v>48</v>
      </c>
      <c r="F47" s="124" t="s">
        <v>59</v>
      </c>
      <c r="G47" s="88">
        <v>46210</v>
      </c>
      <c r="H47" s="87" t="s">
        <v>730</v>
      </c>
      <c r="I47" s="88" t="s">
        <v>731</v>
      </c>
      <c r="J47" s="89" t="s">
        <v>732</v>
      </c>
      <c r="K47" s="89" t="s">
        <v>733</v>
      </c>
      <c r="L47" s="89" t="s">
        <v>679</v>
      </c>
      <c r="M47" s="118"/>
      <c r="N47" s="90">
        <v>40000</v>
      </c>
      <c r="O47" s="91"/>
      <c r="P47" s="90"/>
      <c r="Q47" s="90"/>
      <c r="R47" s="90"/>
      <c r="S47" s="130"/>
      <c r="T47" s="130"/>
      <c r="U47" s="128">
        <f t="shared" si="0"/>
        <v>20222.699999999997</v>
      </c>
      <c r="V47" s="92">
        <f t="shared" si="1"/>
        <v>808907999.99999988</v>
      </c>
      <c r="W47" s="92">
        <f t="shared" si="2"/>
        <v>80890800</v>
      </c>
      <c r="X47" s="129">
        <v>889798800</v>
      </c>
      <c r="Y47" s="115"/>
    </row>
    <row r="48" spans="1:25" s="94" customFormat="1" ht="30" customHeight="1">
      <c r="A48" s="85">
        <v>38</v>
      </c>
      <c r="B48" s="155" t="s">
        <v>57</v>
      </c>
      <c r="C48" s="126" t="s">
        <v>43</v>
      </c>
      <c r="D48" s="127" t="s">
        <v>51</v>
      </c>
      <c r="E48" s="127" t="s">
        <v>48</v>
      </c>
      <c r="F48" s="124" t="s">
        <v>59</v>
      </c>
      <c r="G48" s="88">
        <v>46210</v>
      </c>
      <c r="H48" s="87" t="s">
        <v>734</v>
      </c>
      <c r="I48" s="88" t="s">
        <v>735</v>
      </c>
      <c r="J48" s="89" t="s">
        <v>736</v>
      </c>
      <c r="K48" s="89" t="s">
        <v>737</v>
      </c>
      <c r="L48" s="89" t="s">
        <v>679</v>
      </c>
      <c r="M48" s="118"/>
      <c r="N48" s="90">
        <v>25000</v>
      </c>
      <c r="O48" s="91"/>
      <c r="P48" s="90"/>
      <c r="Q48" s="90"/>
      <c r="R48" s="90"/>
      <c r="S48" s="130"/>
      <c r="T48" s="130"/>
      <c r="U48" s="128">
        <f t="shared" si="0"/>
        <v>20168.772799999999</v>
      </c>
      <c r="V48" s="92">
        <f t="shared" si="1"/>
        <v>504219319.99999994</v>
      </c>
      <c r="W48" s="92">
        <f t="shared" si="2"/>
        <v>50421932</v>
      </c>
      <c r="X48" s="129">
        <v>554641252</v>
      </c>
      <c r="Y48" s="115"/>
    </row>
    <row r="49" spans="1:25" s="94" customFormat="1" ht="30" customHeight="1">
      <c r="A49" s="85">
        <v>39</v>
      </c>
      <c r="B49" s="155" t="s">
        <v>57</v>
      </c>
      <c r="C49" s="126" t="s">
        <v>43</v>
      </c>
      <c r="D49" s="127" t="s">
        <v>51</v>
      </c>
      <c r="E49" s="127" t="s">
        <v>48</v>
      </c>
      <c r="F49" s="124" t="s">
        <v>59</v>
      </c>
      <c r="G49" s="88">
        <v>46210</v>
      </c>
      <c r="H49" s="87" t="s">
        <v>738</v>
      </c>
      <c r="I49" s="88" t="s">
        <v>739</v>
      </c>
      <c r="J49" s="89" t="s">
        <v>740</v>
      </c>
      <c r="K49" s="89" t="s">
        <v>741</v>
      </c>
      <c r="L49" s="89" t="s">
        <v>679</v>
      </c>
      <c r="M49" s="118"/>
      <c r="N49" s="90">
        <v>5000</v>
      </c>
      <c r="O49" s="91"/>
      <c r="P49" s="90"/>
      <c r="Q49" s="90"/>
      <c r="R49" s="90"/>
      <c r="S49" s="130"/>
      <c r="T49" s="130"/>
      <c r="U49" s="128">
        <f t="shared" si="0"/>
        <v>20168.772799999999</v>
      </c>
      <c r="V49" s="92">
        <f t="shared" si="1"/>
        <v>100843864</v>
      </c>
      <c r="W49" s="92">
        <f t="shared" si="2"/>
        <v>10084386.4</v>
      </c>
      <c r="X49" s="129">
        <v>110928250.40000001</v>
      </c>
      <c r="Y49" s="115"/>
    </row>
    <row r="50" spans="1:25" s="94" customFormat="1" ht="30" customHeight="1">
      <c r="A50" s="85">
        <v>40</v>
      </c>
      <c r="B50" s="155" t="s">
        <v>57</v>
      </c>
      <c r="C50" s="126" t="s">
        <v>43</v>
      </c>
      <c r="D50" s="127" t="s">
        <v>51</v>
      </c>
      <c r="E50" s="127" t="s">
        <v>48</v>
      </c>
      <c r="F50" s="124" t="s">
        <v>59</v>
      </c>
      <c r="G50" s="88">
        <v>46210</v>
      </c>
      <c r="H50" s="87" t="s">
        <v>742</v>
      </c>
      <c r="I50" s="88" t="s">
        <v>743</v>
      </c>
      <c r="J50" s="89" t="s">
        <v>744</v>
      </c>
      <c r="K50" s="89" t="s">
        <v>745</v>
      </c>
      <c r="L50" s="89" t="s">
        <v>679</v>
      </c>
      <c r="M50" s="118"/>
      <c r="N50" s="90">
        <v>5000</v>
      </c>
      <c r="O50" s="91"/>
      <c r="P50" s="90"/>
      <c r="Q50" s="90"/>
      <c r="R50" s="90"/>
      <c r="S50" s="130"/>
      <c r="T50" s="130"/>
      <c r="U50" s="128">
        <f t="shared" si="0"/>
        <v>20168.772799999999</v>
      </c>
      <c r="V50" s="92">
        <f t="shared" si="1"/>
        <v>100843864</v>
      </c>
      <c r="W50" s="92">
        <f t="shared" si="2"/>
        <v>10084386.4</v>
      </c>
      <c r="X50" s="129">
        <v>110928250.40000001</v>
      </c>
      <c r="Y50" s="115"/>
    </row>
    <row r="51" spans="1:25" s="94" customFormat="1" ht="30" customHeight="1">
      <c r="A51" s="85">
        <v>41</v>
      </c>
      <c r="B51" s="199" t="s">
        <v>534</v>
      </c>
      <c r="C51" s="126" t="s">
        <v>43</v>
      </c>
      <c r="D51" s="127" t="s">
        <v>51</v>
      </c>
      <c r="E51" s="127" t="s">
        <v>48</v>
      </c>
      <c r="F51" s="124" t="s">
        <v>59</v>
      </c>
      <c r="G51" s="88">
        <v>46211</v>
      </c>
      <c r="H51" s="87" t="s">
        <v>749</v>
      </c>
      <c r="I51" s="88" t="s">
        <v>750</v>
      </c>
      <c r="J51" s="89" t="s">
        <v>751</v>
      </c>
      <c r="K51" s="89" t="s">
        <v>752</v>
      </c>
      <c r="L51" s="89" t="s">
        <v>763</v>
      </c>
      <c r="M51" s="118"/>
      <c r="N51" s="90">
        <v>20000</v>
      </c>
      <c r="O51" s="91"/>
      <c r="P51" s="90"/>
      <c r="Q51" s="90"/>
      <c r="R51" s="90"/>
      <c r="S51" s="130"/>
      <c r="T51" s="130"/>
      <c r="U51" s="128">
        <f t="shared" si="0"/>
        <v>20228.099999999999</v>
      </c>
      <c r="V51" s="92">
        <f t="shared" si="1"/>
        <v>404561999.99999994</v>
      </c>
      <c r="W51" s="92">
        <f t="shared" si="2"/>
        <v>40456200</v>
      </c>
      <c r="X51" s="129">
        <v>445018200</v>
      </c>
      <c r="Y51" s="115"/>
    </row>
    <row r="52" spans="1:25" s="94" customFormat="1" ht="30" customHeight="1">
      <c r="A52" s="85">
        <v>42</v>
      </c>
      <c r="B52" s="155" t="s">
        <v>57</v>
      </c>
      <c r="C52" s="126" t="s">
        <v>43</v>
      </c>
      <c r="D52" s="127" t="s">
        <v>51</v>
      </c>
      <c r="E52" s="127" t="s">
        <v>48</v>
      </c>
      <c r="F52" s="124" t="s">
        <v>59</v>
      </c>
      <c r="G52" s="88">
        <v>46210</v>
      </c>
      <c r="H52" s="87" t="s">
        <v>753</v>
      </c>
      <c r="I52" s="88" t="s">
        <v>754</v>
      </c>
      <c r="J52" s="89" t="s">
        <v>755</v>
      </c>
      <c r="K52" s="89" t="s">
        <v>756</v>
      </c>
      <c r="L52" s="89" t="s">
        <v>679</v>
      </c>
      <c r="M52" s="118"/>
      <c r="N52" s="90">
        <v>130</v>
      </c>
      <c r="O52" s="91"/>
      <c r="P52" s="90"/>
      <c r="Q52" s="90"/>
      <c r="R52" s="90"/>
      <c r="S52" s="130"/>
      <c r="T52" s="130"/>
      <c r="U52" s="128">
        <f t="shared" si="0"/>
        <v>20168.772797202797</v>
      </c>
      <c r="V52" s="92">
        <f t="shared" si="1"/>
        <v>2621940.4636363634</v>
      </c>
      <c r="W52" s="92">
        <f t="shared" si="2"/>
        <v>262194.04636363633</v>
      </c>
      <c r="X52" s="129">
        <v>2884134.51</v>
      </c>
      <c r="Y52" s="115"/>
    </row>
    <row r="53" spans="1:25" s="94" customFormat="1" ht="30" customHeight="1">
      <c r="A53" s="85">
        <v>43</v>
      </c>
      <c r="B53" s="155" t="s">
        <v>57</v>
      </c>
      <c r="C53" s="126" t="s">
        <v>43</v>
      </c>
      <c r="D53" s="127" t="s">
        <v>51</v>
      </c>
      <c r="E53" s="127" t="s">
        <v>48</v>
      </c>
      <c r="F53" s="124" t="s">
        <v>59</v>
      </c>
      <c r="G53" s="88">
        <v>46210</v>
      </c>
      <c r="H53" s="87" t="s">
        <v>764</v>
      </c>
      <c r="I53" s="88" t="s">
        <v>765</v>
      </c>
      <c r="J53" s="89" t="s">
        <v>766</v>
      </c>
      <c r="K53" s="89" t="s">
        <v>765</v>
      </c>
      <c r="L53" s="89" t="s">
        <v>679</v>
      </c>
      <c r="M53" s="118"/>
      <c r="N53" s="90">
        <v>1644</v>
      </c>
      <c r="O53" s="91"/>
      <c r="P53" s="90"/>
      <c r="Q53" s="90"/>
      <c r="R53" s="90"/>
      <c r="S53" s="130"/>
      <c r="T53" s="130"/>
      <c r="U53" s="128">
        <f t="shared" si="0"/>
        <v>20168.772799159477</v>
      </c>
      <c r="V53" s="92">
        <f t="shared" si="1"/>
        <v>33157462.481818177</v>
      </c>
      <c r="W53" s="92">
        <f t="shared" si="2"/>
        <v>3315746.2481818181</v>
      </c>
      <c r="X53" s="129">
        <v>36473208.729999997</v>
      </c>
      <c r="Y53" s="115"/>
    </row>
    <row r="54" spans="1:25" s="94" customFormat="1" ht="30" customHeight="1">
      <c r="A54" s="85">
        <v>44</v>
      </c>
      <c r="B54" s="155" t="s">
        <v>57</v>
      </c>
      <c r="C54" s="126" t="s">
        <v>43</v>
      </c>
      <c r="D54" s="127" t="s">
        <v>51</v>
      </c>
      <c r="E54" s="127" t="s">
        <v>48</v>
      </c>
      <c r="F54" s="124" t="s">
        <v>59</v>
      </c>
      <c r="G54" s="88">
        <v>46211</v>
      </c>
      <c r="H54" s="87" t="s">
        <v>823</v>
      </c>
      <c r="I54" s="88" t="s">
        <v>824</v>
      </c>
      <c r="J54" s="89" t="s">
        <v>825</v>
      </c>
      <c r="K54" s="89" t="s">
        <v>826</v>
      </c>
      <c r="L54" s="89" t="s">
        <v>763</v>
      </c>
      <c r="M54" s="118"/>
      <c r="N54" s="90">
        <v>40000</v>
      </c>
      <c r="O54" s="91"/>
      <c r="P54" s="90"/>
      <c r="Q54" s="90"/>
      <c r="R54" s="90"/>
      <c r="S54" s="130"/>
      <c r="T54" s="130"/>
      <c r="U54" s="128">
        <f t="shared" si="0"/>
        <v>20174.1584</v>
      </c>
      <c r="V54" s="92">
        <f t="shared" si="1"/>
        <v>806966336</v>
      </c>
      <c r="W54" s="92">
        <f t="shared" si="2"/>
        <v>80696633.600000009</v>
      </c>
      <c r="X54" s="129">
        <v>887662969.60000002</v>
      </c>
      <c r="Y54" s="115"/>
    </row>
    <row r="55" spans="1:25" s="94" customFormat="1" ht="30" customHeight="1">
      <c r="A55" s="85">
        <v>45</v>
      </c>
      <c r="B55" s="155" t="s">
        <v>57</v>
      </c>
      <c r="C55" s="126" t="s">
        <v>43</v>
      </c>
      <c r="D55" s="127" t="s">
        <v>51</v>
      </c>
      <c r="E55" s="127" t="s">
        <v>48</v>
      </c>
      <c r="F55" s="124" t="s">
        <v>59</v>
      </c>
      <c r="G55" s="88">
        <v>46211</v>
      </c>
      <c r="H55" s="87" t="s">
        <v>827</v>
      </c>
      <c r="I55" s="88" t="s">
        <v>828</v>
      </c>
      <c r="J55" s="89" t="s">
        <v>829</v>
      </c>
      <c r="K55" s="89" t="s">
        <v>830</v>
      </c>
      <c r="L55" s="89" t="s">
        <v>763</v>
      </c>
      <c r="M55" s="118"/>
      <c r="N55" s="90">
        <v>5000</v>
      </c>
      <c r="O55" s="91"/>
      <c r="P55" s="90"/>
      <c r="Q55" s="90"/>
      <c r="R55" s="90"/>
      <c r="S55" s="130"/>
      <c r="T55" s="130"/>
      <c r="U55" s="128">
        <f t="shared" si="0"/>
        <v>20174.1584</v>
      </c>
      <c r="V55" s="92">
        <f t="shared" si="1"/>
        <v>100870792</v>
      </c>
      <c r="W55" s="92">
        <f t="shared" si="2"/>
        <v>10087079.200000001</v>
      </c>
      <c r="X55" s="129">
        <v>110957871.2</v>
      </c>
      <c r="Y55" s="115"/>
    </row>
    <row r="56" spans="1:25" s="94" customFormat="1" ht="30" customHeight="1">
      <c r="A56" s="85">
        <v>46</v>
      </c>
      <c r="B56" s="155" t="s">
        <v>57</v>
      </c>
      <c r="C56" s="126" t="s">
        <v>43</v>
      </c>
      <c r="D56" s="127" t="s">
        <v>51</v>
      </c>
      <c r="E56" s="127" t="s">
        <v>48</v>
      </c>
      <c r="F56" s="124" t="s">
        <v>59</v>
      </c>
      <c r="G56" s="88">
        <v>46211</v>
      </c>
      <c r="H56" s="87" t="s">
        <v>835</v>
      </c>
      <c r="I56" s="88" t="s">
        <v>836</v>
      </c>
      <c r="J56" s="89" t="s">
        <v>837</v>
      </c>
      <c r="K56" s="89" t="s">
        <v>838</v>
      </c>
      <c r="L56" s="89" t="s">
        <v>763</v>
      </c>
      <c r="M56" s="118"/>
      <c r="N56" s="90">
        <v>30000</v>
      </c>
      <c r="O56" s="91"/>
      <c r="P56" s="90"/>
      <c r="Q56" s="90"/>
      <c r="R56" s="90"/>
      <c r="S56" s="130"/>
      <c r="T56" s="130"/>
      <c r="U56" s="128">
        <f t="shared" si="0"/>
        <v>20174.1584</v>
      </c>
      <c r="V56" s="92">
        <f t="shared" si="1"/>
        <v>605224752</v>
      </c>
      <c r="W56" s="92">
        <f t="shared" si="2"/>
        <v>60522475.200000003</v>
      </c>
      <c r="X56" s="129">
        <v>665747227.20000005</v>
      </c>
      <c r="Y56" s="115"/>
    </row>
    <row r="57" spans="1:25" s="94" customFormat="1" ht="30" customHeight="1">
      <c r="A57" s="85">
        <v>47</v>
      </c>
      <c r="B57" s="155" t="s">
        <v>57</v>
      </c>
      <c r="C57" s="126" t="s">
        <v>43</v>
      </c>
      <c r="D57" s="127" t="s">
        <v>51</v>
      </c>
      <c r="E57" s="127" t="s">
        <v>48</v>
      </c>
      <c r="F57" s="124" t="s">
        <v>59</v>
      </c>
      <c r="G57" s="88">
        <v>46211</v>
      </c>
      <c r="H57" s="87" t="s">
        <v>839</v>
      </c>
      <c r="I57" s="88" t="s">
        <v>840</v>
      </c>
      <c r="J57" s="89" t="s">
        <v>841</v>
      </c>
      <c r="K57" s="89" t="s">
        <v>842</v>
      </c>
      <c r="L57" s="89" t="s">
        <v>763</v>
      </c>
      <c r="M57" s="118"/>
      <c r="N57" s="90">
        <v>20000</v>
      </c>
      <c r="O57" s="91"/>
      <c r="P57" s="90"/>
      <c r="Q57" s="90"/>
      <c r="R57" s="90"/>
      <c r="S57" s="130"/>
      <c r="T57" s="130"/>
      <c r="U57" s="128">
        <f t="shared" si="0"/>
        <v>20228.099999999999</v>
      </c>
      <c r="V57" s="92">
        <f t="shared" si="1"/>
        <v>404561999.99999994</v>
      </c>
      <c r="W57" s="92">
        <f t="shared" si="2"/>
        <v>40456200</v>
      </c>
      <c r="X57" s="129">
        <v>445018200</v>
      </c>
      <c r="Y57" s="115"/>
    </row>
    <row r="58" spans="1:25" s="94" customFormat="1" ht="30" customHeight="1">
      <c r="A58" s="85">
        <v>48</v>
      </c>
      <c r="B58" s="155" t="s">
        <v>57</v>
      </c>
      <c r="C58" s="126" t="s">
        <v>43</v>
      </c>
      <c r="D58" s="127" t="s">
        <v>51</v>
      </c>
      <c r="E58" s="127" t="s">
        <v>48</v>
      </c>
      <c r="F58" s="124" t="s">
        <v>59</v>
      </c>
      <c r="G58" s="88">
        <v>46211</v>
      </c>
      <c r="H58" s="87" t="s">
        <v>843</v>
      </c>
      <c r="I58" s="88" t="s">
        <v>844</v>
      </c>
      <c r="J58" s="89" t="s">
        <v>845</v>
      </c>
      <c r="K58" s="89" t="s">
        <v>846</v>
      </c>
      <c r="L58" s="89" t="s">
        <v>763</v>
      </c>
      <c r="M58" s="118"/>
      <c r="N58" s="90">
        <v>40000</v>
      </c>
      <c r="O58" s="91"/>
      <c r="P58" s="90"/>
      <c r="Q58" s="90"/>
      <c r="R58" s="90"/>
      <c r="S58" s="130"/>
      <c r="T58" s="130"/>
      <c r="U58" s="128">
        <f t="shared" si="0"/>
        <v>20228.099999999999</v>
      </c>
      <c r="V58" s="92">
        <f t="shared" si="1"/>
        <v>809123999.99999988</v>
      </c>
      <c r="W58" s="92">
        <f t="shared" si="2"/>
        <v>80912400</v>
      </c>
      <c r="X58" s="129">
        <v>890036400</v>
      </c>
      <c r="Y58" s="115"/>
    </row>
    <row r="59" spans="1:25" s="94" customFormat="1" ht="30" customHeight="1">
      <c r="A59" s="85">
        <v>49</v>
      </c>
      <c r="B59" s="155" t="s">
        <v>57</v>
      </c>
      <c r="C59" s="126" t="s">
        <v>43</v>
      </c>
      <c r="D59" s="127" t="s">
        <v>51</v>
      </c>
      <c r="E59" s="127" t="s">
        <v>48</v>
      </c>
      <c r="F59" s="124" t="s">
        <v>59</v>
      </c>
      <c r="G59" s="88">
        <v>46212</v>
      </c>
      <c r="H59" s="87" t="s">
        <v>855</v>
      </c>
      <c r="I59" s="88" t="s">
        <v>886</v>
      </c>
      <c r="J59" s="89" t="s">
        <v>857</v>
      </c>
      <c r="K59" s="89" t="s">
        <v>856</v>
      </c>
      <c r="L59" s="89" t="s">
        <v>861</v>
      </c>
      <c r="M59" s="118"/>
      <c r="N59" s="90">
        <v>20000</v>
      </c>
      <c r="O59" s="91"/>
      <c r="P59" s="90"/>
      <c r="Q59" s="90"/>
      <c r="R59" s="90"/>
      <c r="S59" s="130"/>
      <c r="T59" s="130"/>
      <c r="U59" s="128">
        <f t="shared" si="0"/>
        <v>20256.532199999998</v>
      </c>
      <c r="V59" s="92">
        <f t="shared" si="1"/>
        <v>405130643.99999994</v>
      </c>
      <c r="W59" s="92">
        <f t="shared" si="2"/>
        <v>40513064.399999999</v>
      </c>
      <c r="X59" s="129">
        <v>445643708.39999998</v>
      </c>
      <c r="Y59" s="115"/>
    </row>
    <row r="60" spans="1:25" s="94" customFormat="1" ht="30" customHeight="1">
      <c r="A60" s="85">
        <v>50</v>
      </c>
      <c r="B60" s="155" t="s">
        <v>57</v>
      </c>
      <c r="C60" s="126" t="s">
        <v>43</v>
      </c>
      <c r="D60" s="127" t="s">
        <v>51</v>
      </c>
      <c r="E60" s="127" t="s">
        <v>48</v>
      </c>
      <c r="F60" s="124" t="s">
        <v>59</v>
      </c>
      <c r="G60" s="88">
        <v>46211</v>
      </c>
      <c r="H60" s="87" t="s">
        <v>884</v>
      </c>
      <c r="I60" s="88" t="s">
        <v>885</v>
      </c>
      <c r="J60" s="89" t="s">
        <v>887</v>
      </c>
      <c r="K60" s="89" t="s">
        <v>888</v>
      </c>
      <c r="L60" s="89" t="s">
        <v>763</v>
      </c>
      <c r="M60" s="118"/>
      <c r="N60" s="90">
        <v>260</v>
      </c>
      <c r="O60" s="91"/>
      <c r="P60" s="90"/>
      <c r="Q60" s="90"/>
      <c r="R60" s="90"/>
      <c r="S60" s="130"/>
      <c r="T60" s="130"/>
      <c r="U60" s="128">
        <f t="shared" si="0"/>
        <v>20174.158391608391</v>
      </c>
      <c r="V60" s="92">
        <f t="shared" si="1"/>
        <v>5245281.1818181816</v>
      </c>
      <c r="W60" s="92">
        <f t="shared" si="2"/>
        <v>524528.11818181816</v>
      </c>
      <c r="X60" s="129">
        <v>5769809.2999999998</v>
      </c>
      <c r="Y60" s="115"/>
    </row>
    <row r="61" spans="1:25" s="94" customFormat="1" ht="30" customHeight="1">
      <c r="A61" s="85">
        <v>51</v>
      </c>
      <c r="B61" s="155" t="s">
        <v>57</v>
      </c>
      <c r="C61" s="126" t="s">
        <v>43</v>
      </c>
      <c r="D61" s="127" t="s">
        <v>51</v>
      </c>
      <c r="E61" s="127" t="s">
        <v>48</v>
      </c>
      <c r="F61" s="124" t="s">
        <v>59</v>
      </c>
      <c r="G61" s="88">
        <v>46211</v>
      </c>
      <c r="H61" s="87" t="s">
        <v>889</v>
      </c>
      <c r="I61" s="88" t="s">
        <v>890</v>
      </c>
      <c r="J61" s="89" t="s">
        <v>891</v>
      </c>
      <c r="K61" s="89" t="s">
        <v>892</v>
      </c>
      <c r="L61" s="89" t="s">
        <v>763</v>
      </c>
      <c r="M61" s="118"/>
      <c r="N61" s="90">
        <v>959</v>
      </c>
      <c r="O61" s="91"/>
      <c r="P61" s="90"/>
      <c r="Q61" s="90"/>
      <c r="R61" s="90"/>
      <c r="S61" s="130"/>
      <c r="T61" s="130"/>
      <c r="U61" s="128">
        <f t="shared" si="0"/>
        <v>20174.158403640151</v>
      </c>
      <c r="V61" s="92">
        <f t="shared" si="1"/>
        <v>19347017.909090906</v>
      </c>
      <c r="W61" s="92">
        <f t="shared" si="2"/>
        <v>1934701.7909090908</v>
      </c>
      <c r="X61" s="129">
        <v>21281719.699999999</v>
      </c>
      <c r="Y61" s="115"/>
    </row>
    <row r="62" spans="1:25" s="94" customFormat="1" ht="30" customHeight="1">
      <c r="A62" s="85">
        <v>52</v>
      </c>
      <c r="B62" s="155" t="s">
        <v>57</v>
      </c>
      <c r="C62" s="126" t="s">
        <v>43</v>
      </c>
      <c r="D62" s="127" t="s">
        <v>51</v>
      </c>
      <c r="E62" s="127" t="s">
        <v>48</v>
      </c>
      <c r="F62" s="124" t="s">
        <v>59</v>
      </c>
      <c r="G62" s="88">
        <v>46212</v>
      </c>
      <c r="H62" s="87" t="s">
        <v>897</v>
      </c>
      <c r="I62" s="88" t="s">
        <v>898</v>
      </c>
      <c r="J62" s="89" t="s">
        <v>899</v>
      </c>
      <c r="K62" s="89" t="s">
        <v>900</v>
      </c>
      <c r="L62" s="89" t="s">
        <v>861</v>
      </c>
      <c r="M62" s="118"/>
      <c r="N62" s="90">
        <v>40000</v>
      </c>
      <c r="O62" s="91"/>
      <c r="P62" s="90"/>
      <c r="Q62" s="90"/>
      <c r="R62" s="90"/>
      <c r="S62" s="130"/>
      <c r="T62" s="130"/>
      <c r="U62" s="128">
        <f t="shared" si="0"/>
        <v>22263.636363636364</v>
      </c>
      <c r="V62" s="92">
        <f t="shared" si="1"/>
        <v>890545454.5454545</v>
      </c>
      <c r="W62" s="92">
        <f t="shared" si="2"/>
        <v>89054545.454545453</v>
      </c>
      <c r="X62" s="274">
        <v>979600000</v>
      </c>
      <c r="Y62" s="115"/>
    </row>
    <row r="63" spans="1:25" s="94" customFormat="1" ht="30" customHeight="1">
      <c r="A63" s="85">
        <v>53</v>
      </c>
      <c r="B63" s="155" t="s">
        <v>57</v>
      </c>
      <c r="C63" s="126" t="s">
        <v>43</v>
      </c>
      <c r="D63" s="127" t="s">
        <v>51</v>
      </c>
      <c r="E63" s="127" t="s">
        <v>48</v>
      </c>
      <c r="F63" s="124" t="s">
        <v>59</v>
      </c>
      <c r="G63" s="88">
        <v>46212</v>
      </c>
      <c r="H63" s="87" t="s">
        <v>943</v>
      </c>
      <c r="I63" s="88" t="s">
        <v>944</v>
      </c>
      <c r="J63" s="89" t="s">
        <v>945</v>
      </c>
      <c r="K63" s="89" t="s">
        <v>946</v>
      </c>
      <c r="L63" s="89" t="s">
        <v>861</v>
      </c>
      <c r="M63" s="118"/>
      <c r="N63" s="90">
        <v>5000</v>
      </c>
      <c r="O63" s="91"/>
      <c r="P63" s="90"/>
      <c r="Q63" s="90"/>
      <c r="R63" s="90"/>
      <c r="S63" s="130"/>
      <c r="T63" s="130"/>
      <c r="U63" s="128">
        <f t="shared" si="0"/>
        <v>20202.622599999999</v>
      </c>
      <c r="V63" s="92">
        <f t="shared" si="1"/>
        <v>101013112.99999999</v>
      </c>
      <c r="W63" s="92">
        <f t="shared" si="2"/>
        <v>10101311.299999999</v>
      </c>
      <c r="X63" s="129">
        <v>111114424.3</v>
      </c>
      <c r="Y63" s="115"/>
    </row>
    <row r="64" spans="1:25" s="94" customFormat="1" ht="30" customHeight="1">
      <c r="A64" s="85">
        <v>54</v>
      </c>
      <c r="B64" s="155" t="s">
        <v>57</v>
      </c>
      <c r="C64" s="126" t="s">
        <v>43</v>
      </c>
      <c r="D64" s="127" t="s">
        <v>51</v>
      </c>
      <c r="E64" s="127" t="s">
        <v>48</v>
      </c>
      <c r="F64" s="124" t="s">
        <v>59</v>
      </c>
      <c r="G64" s="88">
        <v>46212</v>
      </c>
      <c r="H64" s="87" t="s">
        <v>947</v>
      </c>
      <c r="I64" s="88" t="s">
        <v>948</v>
      </c>
      <c r="J64" s="89" t="s">
        <v>949</v>
      </c>
      <c r="K64" s="89" t="s">
        <v>950</v>
      </c>
      <c r="L64" s="89" t="s">
        <v>861</v>
      </c>
      <c r="M64" s="118"/>
      <c r="N64" s="90">
        <v>40000</v>
      </c>
      <c r="O64" s="91"/>
      <c r="P64" s="90"/>
      <c r="Q64" s="90"/>
      <c r="R64" s="90"/>
      <c r="S64" s="130"/>
      <c r="T64" s="130"/>
      <c r="U64" s="128">
        <f t="shared" si="0"/>
        <v>20202.622599999999</v>
      </c>
      <c r="V64" s="92">
        <f t="shared" si="1"/>
        <v>808104903.99999988</v>
      </c>
      <c r="W64" s="92">
        <f t="shared" si="2"/>
        <v>80810490.399999991</v>
      </c>
      <c r="X64" s="129">
        <v>888915394.39999998</v>
      </c>
      <c r="Y64" s="115"/>
    </row>
    <row r="65" spans="1:25" s="94" customFormat="1" ht="30" customHeight="1">
      <c r="A65" s="85">
        <v>55</v>
      </c>
      <c r="B65" s="155" t="s">
        <v>57</v>
      </c>
      <c r="C65" s="126" t="s">
        <v>43</v>
      </c>
      <c r="D65" s="127" t="s">
        <v>51</v>
      </c>
      <c r="E65" s="127" t="s">
        <v>48</v>
      </c>
      <c r="F65" s="124" t="s">
        <v>59</v>
      </c>
      <c r="G65" s="88">
        <v>46212</v>
      </c>
      <c r="H65" s="87" t="s">
        <v>951</v>
      </c>
      <c r="I65" s="88" t="s">
        <v>952</v>
      </c>
      <c r="J65" s="89" t="s">
        <v>953</v>
      </c>
      <c r="K65" s="89" t="s">
        <v>954</v>
      </c>
      <c r="L65" s="89" t="s">
        <v>861</v>
      </c>
      <c r="M65" s="118"/>
      <c r="N65" s="90">
        <v>20000</v>
      </c>
      <c r="O65" s="91"/>
      <c r="P65" s="90"/>
      <c r="Q65" s="90"/>
      <c r="R65" s="90"/>
      <c r="S65" s="130"/>
      <c r="T65" s="130"/>
      <c r="U65" s="128">
        <f t="shared" si="0"/>
        <v>20256.532199999998</v>
      </c>
      <c r="V65" s="92">
        <f t="shared" si="1"/>
        <v>405130643.99999994</v>
      </c>
      <c r="W65" s="92">
        <f t="shared" si="2"/>
        <v>40513064.399999999</v>
      </c>
      <c r="X65" s="129">
        <v>445643708.39999998</v>
      </c>
      <c r="Y65" s="115"/>
    </row>
    <row r="66" spans="1:25" s="94" customFormat="1" ht="30" customHeight="1">
      <c r="A66" s="85">
        <v>56</v>
      </c>
      <c r="B66" s="155" t="s">
        <v>57</v>
      </c>
      <c r="C66" s="126" t="s">
        <v>43</v>
      </c>
      <c r="D66" s="127" t="s">
        <v>51</v>
      </c>
      <c r="E66" s="127" t="s">
        <v>48</v>
      </c>
      <c r="F66" s="124" t="s">
        <v>59</v>
      </c>
      <c r="G66" s="88">
        <v>46212</v>
      </c>
      <c r="H66" s="87" t="s">
        <v>955</v>
      </c>
      <c r="I66" s="88" t="s">
        <v>956</v>
      </c>
      <c r="J66" s="89" t="s">
        <v>957</v>
      </c>
      <c r="K66" s="89" t="s">
        <v>958</v>
      </c>
      <c r="L66" s="89" t="s">
        <v>861</v>
      </c>
      <c r="M66" s="118"/>
      <c r="N66" s="90">
        <v>1735</v>
      </c>
      <c r="O66" s="91"/>
      <c r="P66" s="90"/>
      <c r="Q66" s="90"/>
      <c r="R66" s="90"/>
      <c r="S66" s="130"/>
      <c r="T66" s="130"/>
      <c r="U66" s="128">
        <f t="shared" si="0"/>
        <v>20202.622598899656</v>
      </c>
      <c r="V66" s="92">
        <f t="shared" si="1"/>
        <v>35051550.209090903</v>
      </c>
      <c r="W66" s="92">
        <f t="shared" si="2"/>
        <v>3505155.0209090905</v>
      </c>
      <c r="X66" s="129">
        <v>38556705.229999997</v>
      </c>
      <c r="Y66" s="115"/>
    </row>
    <row r="67" spans="1:25" s="94" customFormat="1" ht="30" customHeight="1">
      <c r="A67" s="85">
        <v>57</v>
      </c>
      <c r="B67" s="155" t="s">
        <v>57</v>
      </c>
      <c r="C67" s="126" t="s">
        <v>43</v>
      </c>
      <c r="D67" s="127" t="s">
        <v>51</v>
      </c>
      <c r="E67" s="127" t="s">
        <v>48</v>
      </c>
      <c r="F67" s="124" t="s">
        <v>59</v>
      </c>
      <c r="G67" s="88">
        <v>46213</v>
      </c>
      <c r="H67" s="87" t="s">
        <v>992</v>
      </c>
      <c r="I67" s="88" t="s">
        <v>993</v>
      </c>
      <c r="J67" s="89" t="s">
        <v>994</v>
      </c>
      <c r="K67" s="89" t="s">
        <v>995</v>
      </c>
      <c r="L67" s="89" t="s">
        <v>934</v>
      </c>
      <c r="M67" s="118"/>
      <c r="N67" s="90">
        <v>40000</v>
      </c>
      <c r="O67" s="91"/>
      <c r="P67" s="90"/>
      <c r="Q67" s="90"/>
      <c r="R67" s="90"/>
      <c r="S67" s="130"/>
      <c r="T67" s="130"/>
      <c r="U67" s="128">
        <f t="shared" si="0"/>
        <v>20208.618599999998</v>
      </c>
      <c r="V67" s="92">
        <f t="shared" si="1"/>
        <v>808344743.99999988</v>
      </c>
      <c r="W67" s="92">
        <f t="shared" si="2"/>
        <v>80834474.399999991</v>
      </c>
      <c r="X67" s="129">
        <v>889179218.39999998</v>
      </c>
      <c r="Y67" s="115"/>
    </row>
    <row r="68" spans="1:25" s="94" customFormat="1" ht="30" customHeight="1">
      <c r="A68" s="85">
        <v>58</v>
      </c>
      <c r="B68" s="155" t="s">
        <v>57</v>
      </c>
      <c r="C68" s="126" t="s">
        <v>43</v>
      </c>
      <c r="D68" s="127" t="s">
        <v>51</v>
      </c>
      <c r="E68" s="127" t="s">
        <v>48</v>
      </c>
      <c r="F68" s="124" t="s">
        <v>59</v>
      </c>
      <c r="G68" s="88">
        <v>46213</v>
      </c>
      <c r="H68" s="87" t="s">
        <v>996</v>
      </c>
      <c r="I68" s="88" t="s">
        <v>997</v>
      </c>
      <c r="J68" s="89" t="s">
        <v>998</v>
      </c>
      <c r="K68" s="89" t="s">
        <v>999</v>
      </c>
      <c r="L68" s="89" t="s">
        <v>934</v>
      </c>
      <c r="M68" s="118"/>
      <c r="N68" s="90">
        <v>5000</v>
      </c>
      <c r="O68" s="91"/>
      <c r="P68" s="90"/>
      <c r="Q68" s="90"/>
      <c r="R68" s="90"/>
      <c r="S68" s="130"/>
      <c r="T68" s="130"/>
      <c r="U68" s="128">
        <f t="shared" si="0"/>
        <v>20208.618599999998</v>
      </c>
      <c r="V68" s="92">
        <f t="shared" si="1"/>
        <v>101043092.99999999</v>
      </c>
      <c r="W68" s="92">
        <f t="shared" si="2"/>
        <v>10104309.299999999</v>
      </c>
      <c r="X68" s="129">
        <v>111147402.3</v>
      </c>
      <c r="Y68" s="115"/>
    </row>
    <row r="69" spans="1:25" s="94" customFormat="1" ht="30" customHeight="1">
      <c r="A69" s="85">
        <v>59</v>
      </c>
      <c r="B69" s="86" t="s">
        <v>1058</v>
      </c>
      <c r="C69" s="126" t="s">
        <v>43</v>
      </c>
      <c r="D69" s="127" t="s">
        <v>51</v>
      </c>
      <c r="E69" s="127" t="s">
        <v>48</v>
      </c>
      <c r="F69" s="124" t="s">
        <v>1059</v>
      </c>
      <c r="G69" s="88">
        <v>46216</v>
      </c>
      <c r="H69" s="87" t="s">
        <v>1060</v>
      </c>
      <c r="I69" s="88" t="s">
        <v>1061</v>
      </c>
      <c r="J69" s="89" t="s">
        <v>1062</v>
      </c>
      <c r="K69" s="89" t="s">
        <v>1063</v>
      </c>
      <c r="L69" s="89" t="s">
        <v>1028</v>
      </c>
      <c r="M69" s="118"/>
      <c r="N69" s="90">
        <v>40000</v>
      </c>
      <c r="O69" s="91">
        <v>46197</v>
      </c>
      <c r="P69" s="90" t="s">
        <v>1064</v>
      </c>
      <c r="Q69" s="90">
        <v>80</v>
      </c>
      <c r="R69" s="90">
        <v>25090</v>
      </c>
      <c r="S69" s="90">
        <v>600</v>
      </c>
      <c r="T69" s="90">
        <f>+R69-S69</f>
        <v>24490</v>
      </c>
      <c r="U69" s="128">
        <f t="shared" si="0"/>
        <v>22263.63636363636</v>
      </c>
      <c r="V69" s="92">
        <f>+N69*T69*0.909090909090909</f>
        <v>890545454.54545438</v>
      </c>
      <c r="W69" s="92">
        <f>+V69*10%</f>
        <v>89054545.454545438</v>
      </c>
      <c r="X69" s="93">
        <f>SUM(V69:W69)</f>
        <v>979599999.99999976</v>
      </c>
      <c r="Y69" s="115"/>
    </row>
    <row r="70" spans="1:25" s="94" customFormat="1" ht="30" customHeight="1">
      <c r="A70" s="85">
        <v>60</v>
      </c>
      <c r="B70" s="86" t="s">
        <v>50</v>
      </c>
      <c r="C70" s="127" t="s">
        <v>43</v>
      </c>
      <c r="D70" s="127" t="s">
        <v>51</v>
      </c>
      <c r="E70" s="127" t="s">
        <v>48</v>
      </c>
      <c r="F70" s="117" t="s">
        <v>49</v>
      </c>
      <c r="G70" s="88">
        <v>46216</v>
      </c>
      <c r="H70" s="87" t="s">
        <v>1065</v>
      </c>
      <c r="I70" s="88" t="s">
        <v>1066</v>
      </c>
      <c r="J70" s="89" t="s">
        <v>1067</v>
      </c>
      <c r="K70" s="89" t="s">
        <v>1068</v>
      </c>
      <c r="L70" s="89" t="s">
        <v>1028</v>
      </c>
      <c r="M70" s="118" t="s">
        <v>1073</v>
      </c>
      <c r="N70" s="90">
        <v>170</v>
      </c>
      <c r="O70" s="91">
        <v>46211</v>
      </c>
      <c r="P70" s="90" t="s">
        <v>964</v>
      </c>
      <c r="Q70" s="90">
        <v>80</v>
      </c>
      <c r="R70" s="90">
        <v>25610</v>
      </c>
      <c r="S70" s="130">
        <v>400</v>
      </c>
      <c r="T70" s="90">
        <f>+R70-S70</f>
        <v>25210</v>
      </c>
      <c r="U70" s="128">
        <f>+V70/N70</f>
        <v>22918.181818181816</v>
      </c>
      <c r="V70" s="92">
        <f>+N70*T70*0.909090909090909</f>
        <v>3896090.9090909087</v>
      </c>
      <c r="W70" s="92">
        <f>+V70*10%</f>
        <v>389609.09090909088</v>
      </c>
      <c r="X70" s="93">
        <f>SUM(V70:W70)</f>
        <v>4285700</v>
      </c>
      <c r="Y70" s="115"/>
    </row>
    <row r="71" spans="1:25" s="94" customFormat="1" ht="30" customHeight="1">
      <c r="A71" s="85">
        <v>61</v>
      </c>
      <c r="B71" s="86" t="s">
        <v>50</v>
      </c>
      <c r="C71" s="127" t="s">
        <v>43</v>
      </c>
      <c r="D71" s="127" t="s">
        <v>51</v>
      </c>
      <c r="E71" s="127" t="s">
        <v>48</v>
      </c>
      <c r="F71" s="117" t="s">
        <v>49</v>
      </c>
      <c r="G71" s="88">
        <v>46216</v>
      </c>
      <c r="H71" s="87" t="s">
        <v>1069</v>
      </c>
      <c r="I71" s="88" t="s">
        <v>1070</v>
      </c>
      <c r="J71" s="89" t="s">
        <v>1071</v>
      </c>
      <c r="K71" s="89" t="s">
        <v>1072</v>
      </c>
      <c r="L71" s="89" t="s">
        <v>1028</v>
      </c>
      <c r="M71" s="118" t="s">
        <v>1074</v>
      </c>
      <c r="N71" s="90">
        <v>429</v>
      </c>
      <c r="O71" s="91">
        <v>46211</v>
      </c>
      <c r="P71" s="90" t="s">
        <v>964</v>
      </c>
      <c r="Q71" s="90">
        <v>80</v>
      </c>
      <c r="R71" s="90">
        <v>25030</v>
      </c>
      <c r="S71" s="130">
        <v>400</v>
      </c>
      <c r="T71" s="90">
        <f>+R71-S71</f>
        <v>24630</v>
      </c>
      <c r="U71" s="128">
        <f>+V71/N71</f>
        <v>22390.909090909088</v>
      </c>
      <c r="V71" s="92">
        <f>+N71*T71*0.909090909090909</f>
        <v>9605699.9999999981</v>
      </c>
      <c r="W71" s="92">
        <f>+V71*10%</f>
        <v>960569.99999999988</v>
      </c>
      <c r="X71" s="93">
        <f>SUM(V71:W71)</f>
        <v>10566269.999999998</v>
      </c>
      <c r="Y71" s="115"/>
    </row>
    <row r="72" spans="1:25" s="94" customFormat="1" ht="26" customHeight="1">
      <c r="A72" s="85">
        <v>62</v>
      </c>
      <c r="B72" s="155" t="s">
        <v>57</v>
      </c>
      <c r="C72" s="126" t="s">
        <v>43</v>
      </c>
      <c r="D72" s="127" t="s">
        <v>51</v>
      </c>
      <c r="E72" s="127" t="s">
        <v>48</v>
      </c>
      <c r="F72" s="124" t="s">
        <v>59</v>
      </c>
      <c r="G72" s="88">
        <v>46213</v>
      </c>
      <c r="H72" s="87" t="s">
        <v>1118</v>
      </c>
      <c r="I72" s="88" t="s">
        <v>1119</v>
      </c>
      <c r="J72" s="89" t="s">
        <v>1120</v>
      </c>
      <c r="K72" s="89" t="s">
        <v>1121</v>
      </c>
      <c r="L72" s="89" t="s">
        <v>934</v>
      </c>
      <c r="M72" s="118"/>
      <c r="N72" s="90">
        <v>596</v>
      </c>
      <c r="O72" s="91"/>
      <c r="P72" s="90"/>
      <c r="Q72" s="90"/>
      <c r="R72" s="90"/>
      <c r="S72" s="130"/>
      <c r="T72" s="130"/>
      <c r="U72" s="128">
        <f t="shared" si="0"/>
        <v>20208.618608907869</v>
      </c>
      <c r="V72" s="92">
        <f t="shared" si="1"/>
        <v>12044336.69090909</v>
      </c>
      <c r="W72" s="92">
        <f t="shared" si="2"/>
        <v>1204433.669090909</v>
      </c>
      <c r="X72" s="129">
        <v>13248770.359999999</v>
      </c>
      <c r="Y72" s="115"/>
    </row>
    <row r="73" spans="1:25" s="94" customFormat="1" ht="30" customHeight="1">
      <c r="A73" s="85">
        <v>63</v>
      </c>
      <c r="B73" s="155" t="s">
        <v>57</v>
      </c>
      <c r="C73" s="126" t="s">
        <v>43</v>
      </c>
      <c r="D73" s="127" t="s">
        <v>51</v>
      </c>
      <c r="E73" s="127" t="s">
        <v>48</v>
      </c>
      <c r="F73" s="124" t="s">
        <v>59</v>
      </c>
      <c r="G73" s="88">
        <v>46213</v>
      </c>
      <c r="H73" s="87" t="s">
        <v>1122</v>
      </c>
      <c r="I73" s="88" t="s">
        <v>1123</v>
      </c>
      <c r="J73" s="89" t="s">
        <v>1124</v>
      </c>
      <c r="K73" s="89" t="s">
        <v>1125</v>
      </c>
      <c r="L73" s="89" t="s">
        <v>934</v>
      </c>
      <c r="M73" s="118"/>
      <c r="N73" s="90">
        <v>2290</v>
      </c>
      <c r="O73" s="91"/>
      <c r="P73" s="90"/>
      <c r="Q73" s="90"/>
      <c r="R73" s="90"/>
      <c r="S73" s="130"/>
      <c r="T73" s="90"/>
      <c r="U73" s="128">
        <f t="shared" si="0"/>
        <v>20208.618598650257</v>
      </c>
      <c r="V73" s="92">
        <f t="shared" si="1"/>
        <v>46277736.590909086</v>
      </c>
      <c r="W73" s="92">
        <f t="shared" si="2"/>
        <v>4627773.6590909092</v>
      </c>
      <c r="X73" s="129">
        <v>50905510.25</v>
      </c>
      <c r="Y73" s="115"/>
    </row>
    <row r="74" spans="1:25" s="94" customFormat="1" ht="30" customHeight="1">
      <c r="A74" s="85">
        <v>64</v>
      </c>
      <c r="B74" s="155" t="s">
        <v>57</v>
      </c>
      <c r="C74" s="126" t="s">
        <v>43</v>
      </c>
      <c r="D74" s="127" t="s">
        <v>51</v>
      </c>
      <c r="E74" s="127" t="s">
        <v>48</v>
      </c>
      <c r="F74" s="124" t="s">
        <v>59</v>
      </c>
      <c r="G74" s="88">
        <v>46214</v>
      </c>
      <c r="H74" s="87" t="s">
        <v>1126</v>
      </c>
      <c r="I74" s="88" t="s">
        <v>1127</v>
      </c>
      <c r="J74" s="89" t="s">
        <v>1128</v>
      </c>
      <c r="K74" s="89" t="s">
        <v>1129</v>
      </c>
      <c r="L74" s="89" t="s">
        <v>1013</v>
      </c>
      <c r="M74" s="118"/>
      <c r="N74" s="90">
        <v>60000</v>
      </c>
      <c r="O74" s="91"/>
      <c r="P74" s="90"/>
      <c r="Q74" s="90"/>
      <c r="R74" s="90"/>
      <c r="S74" s="130"/>
      <c r="T74" s="130"/>
      <c r="U74" s="128">
        <f t="shared" si="0"/>
        <v>20262.5442</v>
      </c>
      <c r="V74" s="92">
        <f t="shared" si="1"/>
        <v>1215752652</v>
      </c>
      <c r="W74" s="92">
        <f t="shared" si="2"/>
        <v>121575265.2</v>
      </c>
      <c r="X74" s="129">
        <v>1337327917.2</v>
      </c>
      <c r="Y74" s="115"/>
    </row>
    <row r="75" spans="1:25" s="94" customFormat="1" ht="30" customHeight="1">
      <c r="A75" s="85">
        <v>65</v>
      </c>
      <c r="B75" s="155" t="s">
        <v>57</v>
      </c>
      <c r="C75" s="126" t="s">
        <v>43</v>
      </c>
      <c r="D75" s="127" t="s">
        <v>51</v>
      </c>
      <c r="E75" s="127" t="s">
        <v>48</v>
      </c>
      <c r="F75" s="124" t="s">
        <v>59</v>
      </c>
      <c r="G75" s="88">
        <v>46214</v>
      </c>
      <c r="H75" s="87" t="s">
        <v>1130</v>
      </c>
      <c r="I75" s="88" t="s">
        <v>1131</v>
      </c>
      <c r="J75" s="89" t="s">
        <v>1132</v>
      </c>
      <c r="K75" s="89" t="s">
        <v>1133</v>
      </c>
      <c r="L75" s="89" t="s">
        <v>1013</v>
      </c>
      <c r="M75" s="118"/>
      <c r="N75" s="90">
        <v>40000</v>
      </c>
      <c r="O75" s="91"/>
      <c r="P75" s="90"/>
      <c r="Q75" s="90"/>
      <c r="R75" s="90"/>
      <c r="S75" s="130"/>
      <c r="T75" s="130"/>
      <c r="U75" s="128">
        <f t="shared" si="0"/>
        <v>20208.618599999998</v>
      </c>
      <c r="V75" s="92">
        <f t="shared" si="1"/>
        <v>808344743.99999988</v>
      </c>
      <c r="W75" s="92">
        <f t="shared" si="2"/>
        <v>80834474.399999991</v>
      </c>
      <c r="X75" s="129">
        <v>889179218.39999998</v>
      </c>
      <c r="Y75" s="115"/>
    </row>
    <row r="76" spans="1:25" s="94" customFormat="1" ht="30" customHeight="1">
      <c r="A76" s="85">
        <v>66</v>
      </c>
      <c r="B76" s="155" t="s">
        <v>57</v>
      </c>
      <c r="C76" s="126" t="s">
        <v>43</v>
      </c>
      <c r="D76" s="127" t="s">
        <v>51</v>
      </c>
      <c r="E76" s="127" t="s">
        <v>48</v>
      </c>
      <c r="F76" s="124" t="s">
        <v>59</v>
      </c>
      <c r="G76" s="88">
        <v>46215</v>
      </c>
      <c r="H76" s="87" t="s">
        <v>1134</v>
      </c>
      <c r="I76" s="88" t="s">
        <v>1135</v>
      </c>
      <c r="J76" s="89" t="s">
        <v>1136</v>
      </c>
      <c r="K76" s="89" t="s">
        <v>1137</v>
      </c>
      <c r="L76" s="89" t="s">
        <v>1139</v>
      </c>
      <c r="M76" s="118"/>
      <c r="N76" s="90">
        <v>468</v>
      </c>
      <c r="O76" s="91"/>
      <c r="P76" s="90"/>
      <c r="Q76" s="90"/>
      <c r="R76" s="90"/>
      <c r="S76" s="130"/>
      <c r="T76" s="130"/>
      <c r="U76" s="128">
        <f t="shared" si="0"/>
        <v>20208.618589743586</v>
      </c>
      <c r="V76" s="92">
        <f t="shared" si="1"/>
        <v>9457633.4999999981</v>
      </c>
      <c r="W76" s="92">
        <f t="shared" si="2"/>
        <v>945763.34999999986</v>
      </c>
      <c r="X76" s="129">
        <v>10403396.85</v>
      </c>
      <c r="Y76" s="115"/>
    </row>
    <row r="77" spans="1:25" s="94" customFormat="1" ht="30" customHeight="1">
      <c r="A77" s="85">
        <v>67</v>
      </c>
      <c r="B77" s="155" t="s">
        <v>57</v>
      </c>
      <c r="C77" s="126" t="s">
        <v>43</v>
      </c>
      <c r="D77" s="127" t="s">
        <v>51</v>
      </c>
      <c r="E77" s="127" t="s">
        <v>48</v>
      </c>
      <c r="F77" s="124" t="s">
        <v>59</v>
      </c>
      <c r="G77" s="88">
        <v>46214</v>
      </c>
      <c r="H77" s="87" t="s">
        <v>1140</v>
      </c>
      <c r="I77" s="88" t="s">
        <v>1141</v>
      </c>
      <c r="J77" s="89" t="s">
        <v>1146</v>
      </c>
      <c r="K77" s="89" t="s">
        <v>1138</v>
      </c>
      <c r="L77" s="89" t="s">
        <v>1013</v>
      </c>
      <c r="M77" s="118"/>
      <c r="N77" s="90">
        <v>5000</v>
      </c>
      <c r="O77" s="91"/>
      <c r="P77" s="90"/>
      <c r="Q77" s="90"/>
      <c r="R77" s="90"/>
      <c r="S77" s="130"/>
      <c r="T77" s="130"/>
      <c r="U77" s="128">
        <f t="shared" ref="U77:U139" si="3">+V77/N77</f>
        <v>20208.618599999998</v>
      </c>
      <c r="V77" s="92">
        <f t="shared" ref="V77:V139" si="4">+X77/1.1</f>
        <v>101043092.99999999</v>
      </c>
      <c r="W77" s="92">
        <f t="shared" ref="W77:W139" si="5">V77*10%</f>
        <v>10104309.299999999</v>
      </c>
      <c r="X77" s="129">
        <v>111147402.3</v>
      </c>
      <c r="Y77" s="115"/>
    </row>
    <row r="78" spans="1:25" s="94" customFormat="1" ht="30" customHeight="1">
      <c r="A78" s="85">
        <v>68</v>
      </c>
      <c r="B78" s="155" t="s">
        <v>57</v>
      </c>
      <c r="C78" s="126" t="s">
        <v>43</v>
      </c>
      <c r="D78" s="127" t="s">
        <v>51</v>
      </c>
      <c r="E78" s="127" t="s">
        <v>48</v>
      </c>
      <c r="F78" s="124" t="s">
        <v>59</v>
      </c>
      <c r="G78" s="88">
        <v>46214</v>
      </c>
      <c r="H78" s="87" t="s">
        <v>1151</v>
      </c>
      <c r="I78" s="88" t="s">
        <v>1152</v>
      </c>
      <c r="J78" s="89" t="s">
        <v>1403</v>
      </c>
      <c r="K78" s="89" t="s">
        <v>1153</v>
      </c>
      <c r="L78" s="89" t="s">
        <v>1013</v>
      </c>
      <c r="M78" s="118"/>
      <c r="N78" s="90">
        <v>5000</v>
      </c>
      <c r="O78" s="91"/>
      <c r="P78" s="90"/>
      <c r="Q78" s="90"/>
      <c r="R78" s="90"/>
      <c r="S78" s="130"/>
      <c r="T78" s="130"/>
      <c r="U78" s="128">
        <f t="shared" si="3"/>
        <v>20208.618599999998</v>
      </c>
      <c r="V78" s="92">
        <f t="shared" si="4"/>
        <v>101043092.99999999</v>
      </c>
      <c r="W78" s="92">
        <f t="shared" si="5"/>
        <v>10104309.299999999</v>
      </c>
      <c r="X78" s="129">
        <v>111147402.3</v>
      </c>
      <c r="Y78" s="115"/>
    </row>
    <row r="79" spans="1:25" s="94" customFormat="1" ht="30" customHeight="1">
      <c r="A79" s="85">
        <v>69</v>
      </c>
      <c r="B79" s="155" t="s">
        <v>57</v>
      </c>
      <c r="C79" s="126" t="s">
        <v>43</v>
      </c>
      <c r="D79" s="127" t="s">
        <v>51</v>
      </c>
      <c r="E79" s="127" t="s">
        <v>48</v>
      </c>
      <c r="F79" s="124" t="s">
        <v>59</v>
      </c>
      <c r="G79" s="88">
        <v>46216</v>
      </c>
      <c r="H79" s="87" t="s">
        <v>1177</v>
      </c>
      <c r="I79" s="88" t="s">
        <v>1178</v>
      </c>
      <c r="J79" s="89" t="s">
        <v>1179</v>
      </c>
      <c r="K79" s="89" t="s">
        <v>1180</v>
      </c>
      <c r="L79" s="89" t="s">
        <v>1028</v>
      </c>
      <c r="M79" s="118"/>
      <c r="N79" s="90">
        <v>60000</v>
      </c>
      <c r="O79" s="91"/>
      <c r="P79" s="90"/>
      <c r="Q79" s="90"/>
      <c r="R79" s="90"/>
      <c r="S79" s="130"/>
      <c r="T79" s="130"/>
      <c r="U79" s="128">
        <f t="shared" si="3"/>
        <v>21219.276900000001</v>
      </c>
      <c r="V79" s="92">
        <f t="shared" si="4"/>
        <v>1273156614</v>
      </c>
      <c r="W79" s="92">
        <f t="shared" si="5"/>
        <v>127315661.40000001</v>
      </c>
      <c r="X79" s="129">
        <v>1400472275.4000001</v>
      </c>
      <c r="Y79" s="115"/>
    </row>
    <row r="80" spans="1:25" s="94" customFormat="1" ht="30" customHeight="1">
      <c r="A80" s="85">
        <v>70</v>
      </c>
      <c r="B80" s="155" t="s">
        <v>57</v>
      </c>
      <c r="C80" s="126" t="s">
        <v>43</v>
      </c>
      <c r="D80" s="127" t="s">
        <v>51</v>
      </c>
      <c r="E80" s="127" t="s">
        <v>48</v>
      </c>
      <c r="F80" s="124" t="s">
        <v>59</v>
      </c>
      <c r="G80" s="88">
        <v>46216</v>
      </c>
      <c r="H80" s="87" t="s">
        <v>1181</v>
      </c>
      <c r="I80" s="88" t="s">
        <v>1182</v>
      </c>
      <c r="J80" s="89" t="s">
        <v>1183</v>
      </c>
      <c r="K80" s="89" t="s">
        <v>1184</v>
      </c>
      <c r="L80" s="89" t="s">
        <v>1028</v>
      </c>
      <c r="M80" s="118"/>
      <c r="N80" s="90">
        <v>20000</v>
      </c>
      <c r="O80" s="91"/>
      <c r="P80" s="90"/>
      <c r="Q80" s="90"/>
      <c r="R80" s="90"/>
      <c r="S80" s="130"/>
      <c r="T80" s="130"/>
      <c r="U80" s="128">
        <f t="shared" si="3"/>
        <v>21219.276900000001</v>
      </c>
      <c r="V80" s="92">
        <f t="shared" si="4"/>
        <v>424385538</v>
      </c>
      <c r="W80" s="92">
        <f t="shared" si="5"/>
        <v>42438553.800000004</v>
      </c>
      <c r="X80" s="129">
        <v>466824091.80000001</v>
      </c>
      <c r="Y80" s="115"/>
    </row>
    <row r="81" spans="1:25" s="94" customFormat="1" ht="30" customHeight="1">
      <c r="A81" s="85">
        <v>71</v>
      </c>
      <c r="B81" s="155" t="s">
        <v>57</v>
      </c>
      <c r="C81" s="126" t="s">
        <v>43</v>
      </c>
      <c r="D81" s="127" t="s">
        <v>51</v>
      </c>
      <c r="E81" s="127" t="s">
        <v>48</v>
      </c>
      <c r="F81" s="124" t="s">
        <v>59</v>
      </c>
      <c r="G81" s="88">
        <v>46216</v>
      </c>
      <c r="H81" s="87" t="s">
        <v>1191</v>
      </c>
      <c r="I81" s="88" t="s">
        <v>1192</v>
      </c>
      <c r="J81" s="89" t="s">
        <v>1193</v>
      </c>
      <c r="K81" s="89" t="s">
        <v>1194</v>
      </c>
      <c r="L81" s="89" t="s">
        <v>1028</v>
      </c>
      <c r="M81" s="118"/>
      <c r="N81" s="90">
        <v>60000</v>
      </c>
      <c r="O81" s="91"/>
      <c r="P81" s="90"/>
      <c r="Q81" s="90"/>
      <c r="R81" s="90"/>
      <c r="S81" s="130"/>
      <c r="T81" s="130"/>
      <c r="U81" s="128">
        <f t="shared" si="3"/>
        <v>21165.335299999995</v>
      </c>
      <c r="V81" s="92">
        <f t="shared" si="4"/>
        <v>1269920117.9999998</v>
      </c>
      <c r="W81" s="92">
        <f t="shared" si="5"/>
        <v>126992011.79999998</v>
      </c>
      <c r="X81" s="129">
        <v>1396912129.8</v>
      </c>
      <c r="Y81" s="115"/>
    </row>
    <row r="82" spans="1:25" s="94" customFormat="1" ht="30" customHeight="1">
      <c r="A82" s="85">
        <v>72</v>
      </c>
      <c r="B82" s="155" t="s">
        <v>57</v>
      </c>
      <c r="C82" s="126" t="s">
        <v>43</v>
      </c>
      <c r="D82" s="127" t="s">
        <v>51</v>
      </c>
      <c r="E82" s="127" t="s">
        <v>48</v>
      </c>
      <c r="F82" s="124" t="s">
        <v>59</v>
      </c>
      <c r="G82" s="88">
        <v>46216</v>
      </c>
      <c r="H82" s="87" t="s">
        <v>1195</v>
      </c>
      <c r="I82" s="88" t="s">
        <v>1196</v>
      </c>
      <c r="J82" s="89" t="s">
        <v>1197</v>
      </c>
      <c r="K82" s="89" t="s">
        <v>1198</v>
      </c>
      <c r="L82" s="89" t="s">
        <v>1028</v>
      </c>
      <c r="M82" s="118"/>
      <c r="N82" s="90">
        <v>40000</v>
      </c>
      <c r="O82" s="91"/>
      <c r="P82" s="90"/>
      <c r="Q82" s="90"/>
      <c r="R82" s="90"/>
      <c r="S82" s="130"/>
      <c r="T82" s="130"/>
      <c r="U82" s="128">
        <f t="shared" si="3"/>
        <v>21165.335299999999</v>
      </c>
      <c r="V82" s="92">
        <f t="shared" si="4"/>
        <v>846613412</v>
      </c>
      <c r="W82" s="92">
        <f t="shared" si="5"/>
        <v>84661341.200000003</v>
      </c>
      <c r="X82" s="129">
        <v>931274753.20000005</v>
      </c>
      <c r="Y82" s="115"/>
    </row>
    <row r="83" spans="1:25" s="94" customFormat="1" ht="30" customHeight="1">
      <c r="A83" s="85">
        <v>73</v>
      </c>
      <c r="B83" s="155" t="s">
        <v>57</v>
      </c>
      <c r="C83" s="126" t="s">
        <v>43</v>
      </c>
      <c r="D83" s="127" t="s">
        <v>51</v>
      </c>
      <c r="E83" s="127" t="s">
        <v>48</v>
      </c>
      <c r="F83" s="124" t="s">
        <v>59</v>
      </c>
      <c r="G83" s="88">
        <v>46216</v>
      </c>
      <c r="H83" s="87" t="s">
        <v>1203</v>
      </c>
      <c r="I83" s="88" t="s">
        <v>1204</v>
      </c>
      <c r="J83" s="89" t="s">
        <v>1205</v>
      </c>
      <c r="K83" s="89" t="s">
        <v>1206</v>
      </c>
      <c r="L83" s="89" t="s">
        <v>1028</v>
      </c>
      <c r="M83" s="118"/>
      <c r="N83" s="90">
        <v>5000</v>
      </c>
      <c r="O83" s="91"/>
      <c r="P83" s="90"/>
      <c r="Q83" s="90"/>
      <c r="R83" s="90"/>
      <c r="S83" s="130"/>
      <c r="T83" s="130"/>
      <c r="U83" s="128">
        <f t="shared" si="3"/>
        <v>21165.335299999999</v>
      </c>
      <c r="V83" s="92">
        <f t="shared" si="4"/>
        <v>105826676.5</v>
      </c>
      <c r="W83" s="92">
        <f t="shared" si="5"/>
        <v>10582667.65</v>
      </c>
      <c r="X83" s="129">
        <v>116409344.15000001</v>
      </c>
      <c r="Y83" s="115"/>
    </row>
    <row r="84" spans="1:25" s="94" customFormat="1" ht="30" customHeight="1">
      <c r="A84" s="85">
        <v>74</v>
      </c>
      <c r="B84" s="155" t="s">
        <v>57</v>
      </c>
      <c r="C84" s="126" t="s">
        <v>43</v>
      </c>
      <c r="D84" s="127" t="s">
        <v>51</v>
      </c>
      <c r="E84" s="127" t="s">
        <v>48</v>
      </c>
      <c r="F84" s="124" t="s">
        <v>59</v>
      </c>
      <c r="G84" s="88">
        <v>46216</v>
      </c>
      <c r="H84" s="87" t="s">
        <v>1244</v>
      </c>
      <c r="I84" s="88" t="s">
        <v>1245</v>
      </c>
      <c r="J84" s="89" t="s">
        <v>1246</v>
      </c>
      <c r="K84" s="89" t="s">
        <v>1247</v>
      </c>
      <c r="L84" s="89" t="s">
        <v>1028</v>
      </c>
      <c r="M84" s="118"/>
      <c r="N84" s="90">
        <v>157</v>
      </c>
      <c r="O84" s="91"/>
      <c r="P84" s="90"/>
      <c r="Q84" s="90"/>
      <c r="R84" s="90"/>
      <c r="S84" s="130"/>
      <c r="T84" s="130"/>
      <c r="U84" s="128">
        <f t="shared" si="3"/>
        <v>21165.33526346265</v>
      </c>
      <c r="V84" s="92">
        <f t="shared" si="4"/>
        <v>3322957.6363636362</v>
      </c>
      <c r="W84" s="92">
        <f t="shared" si="5"/>
        <v>332295.76363636367</v>
      </c>
      <c r="X84" s="129">
        <v>3655253.4</v>
      </c>
      <c r="Y84" s="115"/>
    </row>
    <row r="85" spans="1:25" s="94" customFormat="1" ht="30" customHeight="1">
      <c r="A85" s="85">
        <v>75</v>
      </c>
      <c r="B85" s="155" t="s">
        <v>57</v>
      </c>
      <c r="C85" s="126" t="s">
        <v>43</v>
      </c>
      <c r="D85" s="127" t="s">
        <v>51</v>
      </c>
      <c r="E85" s="127" t="s">
        <v>48</v>
      </c>
      <c r="F85" s="124" t="s">
        <v>59</v>
      </c>
      <c r="G85" s="88">
        <v>46216</v>
      </c>
      <c r="H85" s="87" t="s">
        <v>1248</v>
      </c>
      <c r="I85" s="88" t="s">
        <v>1249</v>
      </c>
      <c r="J85" s="89" t="s">
        <v>1250</v>
      </c>
      <c r="K85" s="89" t="s">
        <v>1251</v>
      </c>
      <c r="L85" s="89" t="s">
        <v>1028</v>
      </c>
      <c r="M85" s="118"/>
      <c r="N85" s="90">
        <v>1878</v>
      </c>
      <c r="O85" s="91"/>
      <c r="P85" s="90"/>
      <c r="Q85" s="90"/>
      <c r="R85" s="90"/>
      <c r="S85" s="130"/>
      <c r="T85" s="130"/>
      <c r="U85" s="128">
        <f t="shared" si="3"/>
        <v>21165.335298673635</v>
      </c>
      <c r="V85" s="92">
        <f t="shared" si="4"/>
        <v>39748499.690909088</v>
      </c>
      <c r="W85" s="92">
        <f t="shared" si="5"/>
        <v>3974849.9690909088</v>
      </c>
      <c r="X85" s="129">
        <v>43723349.659999996</v>
      </c>
      <c r="Y85" s="115"/>
    </row>
    <row r="86" spans="1:25" s="94" customFormat="1" ht="30" customHeight="1">
      <c r="A86" s="85">
        <v>76</v>
      </c>
      <c r="B86" s="155" t="s">
        <v>57</v>
      </c>
      <c r="C86" s="126" t="s">
        <v>43</v>
      </c>
      <c r="D86" s="127" t="s">
        <v>51</v>
      </c>
      <c r="E86" s="127" t="s">
        <v>48</v>
      </c>
      <c r="F86" s="124" t="s">
        <v>59</v>
      </c>
      <c r="G86" s="88">
        <v>46217</v>
      </c>
      <c r="H86" s="87" t="s">
        <v>1337</v>
      </c>
      <c r="I86" s="88" t="s">
        <v>1338</v>
      </c>
      <c r="J86" s="89" t="s">
        <v>1339</v>
      </c>
      <c r="K86" s="89" t="s">
        <v>1340</v>
      </c>
      <c r="L86" s="89" t="s">
        <v>1228</v>
      </c>
      <c r="M86" s="118"/>
      <c r="N86" s="90">
        <v>10000</v>
      </c>
      <c r="O86" s="91"/>
      <c r="P86" s="90"/>
      <c r="Q86" s="90"/>
      <c r="R86" s="90"/>
      <c r="S86" s="130"/>
      <c r="T86" s="130"/>
      <c r="U86" s="128">
        <f t="shared" si="3"/>
        <v>21170.043799999999</v>
      </c>
      <c r="V86" s="92">
        <f t="shared" si="4"/>
        <v>211700438</v>
      </c>
      <c r="W86" s="92">
        <f t="shared" si="5"/>
        <v>21170043.800000001</v>
      </c>
      <c r="X86" s="129">
        <v>232870481.80000001</v>
      </c>
      <c r="Y86" s="115"/>
    </row>
    <row r="87" spans="1:25" s="94" customFormat="1" ht="30" customHeight="1">
      <c r="A87" s="85">
        <v>77</v>
      </c>
      <c r="B87" s="155" t="s">
        <v>57</v>
      </c>
      <c r="C87" s="126" t="s">
        <v>43</v>
      </c>
      <c r="D87" s="127" t="s">
        <v>51</v>
      </c>
      <c r="E87" s="127" t="s">
        <v>48</v>
      </c>
      <c r="F87" s="124" t="s">
        <v>59</v>
      </c>
      <c r="G87" s="88">
        <v>46217</v>
      </c>
      <c r="H87" s="87" t="s">
        <v>1342</v>
      </c>
      <c r="I87" s="88" t="s">
        <v>1319</v>
      </c>
      <c r="J87" s="89" t="s">
        <v>1343</v>
      </c>
      <c r="K87" s="89" t="s">
        <v>1344</v>
      </c>
      <c r="L87" s="89" t="s">
        <v>1228</v>
      </c>
      <c r="M87" s="118"/>
      <c r="N87" s="90">
        <v>5000</v>
      </c>
      <c r="O87" s="91"/>
      <c r="P87" s="90"/>
      <c r="Q87" s="90"/>
      <c r="R87" s="90"/>
      <c r="S87" s="130"/>
      <c r="T87" s="130"/>
      <c r="U87" s="128">
        <f t="shared" si="3"/>
        <v>21170.043799999999</v>
      </c>
      <c r="V87" s="92">
        <f t="shared" si="4"/>
        <v>105850219</v>
      </c>
      <c r="W87" s="92">
        <f t="shared" si="5"/>
        <v>10585021.9</v>
      </c>
      <c r="X87" s="129">
        <v>116435240.90000001</v>
      </c>
      <c r="Y87" s="115"/>
    </row>
    <row r="88" spans="1:25" s="94" customFormat="1" ht="30" customHeight="1">
      <c r="A88" s="85">
        <v>78</v>
      </c>
      <c r="B88" s="155" t="s">
        <v>57</v>
      </c>
      <c r="C88" s="126" t="s">
        <v>43</v>
      </c>
      <c r="D88" s="127" t="s">
        <v>51</v>
      </c>
      <c r="E88" s="127" t="s">
        <v>48</v>
      </c>
      <c r="F88" s="124" t="s">
        <v>59</v>
      </c>
      <c r="G88" s="88">
        <v>46217</v>
      </c>
      <c r="H88" s="87" t="s">
        <v>1345</v>
      </c>
      <c r="I88" s="88" t="s">
        <v>1320</v>
      </c>
      <c r="J88" s="89" t="s">
        <v>1346</v>
      </c>
      <c r="K88" s="89" t="s">
        <v>1347</v>
      </c>
      <c r="L88" s="89" t="s">
        <v>1227</v>
      </c>
      <c r="M88" s="118"/>
      <c r="N88" s="90">
        <v>40000</v>
      </c>
      <c r="O88" s="91"/>
      <c r="P88" s="90"/>
      <c r="Q88" s="90"/>
      <c r="R88" s="90"/>
      <c r="S88" s="130"/>
      <c r="T88" s="130"/>
      <c r="U88" s="128">
        <f t="shared" si="3"/>
        <v>21170.043799999999</v>
      </c>
      <c r="V88" s="92">
        <f t="shared" si="4"/>
        <v>846801752</v>
      </c>
      <c r="W88" s="92">
        <f t="shared" si="5"/>
        <v>84680175.200000003</v>
      </c>
      <c r="X88" s="129">
        <v>931481927.20000005</v>
      </c>
      <c r="Y88" s="115"/>
    </row>
    <row r="89" spans="1:25" s="94" customFormat="1" ht="30" customHeight="1">
      <c r="A89" s="85">
        <v>79</v>
      </c>
      <c r="B89" s="155" t="s">
        <v>57</v>
      </c>
      <c r="C89" s="126" t="s">
        <v>43</v>
      </c>
      <c r="D89" s="127" t="s">
        <v>51</v>
      </c>
      <c r="E89" s="127" t="s">
        <v>48</v>
      </c>
      <c r="F89" s="124" t="s">
        <v>59</v>
      </c>
      <c r="G89" s="88">
        <v>46217</v>
      </c>
      <c r="H89" s="87" t="s">
        <v>1350</v>
      </c>
      <c r="I89" s="88" t="s">
        <v>1321</v>
      </c>
      <c r="J89" s="89" t="s">
        <v>1352</v>
      </c>
      <c r="K89" s="89" t="s">
        <v>1348</v>
      </c>
      <c r="L89" s="89" t="s">
        <v>1227</v>
      </c>
      <c r="M89" s="118"/>
      <c r="N89" s="90">
        <v>58000</v>
      </c>
      <c r="O89" s="91"/>
      <c r="P89" s="90"/>
      <c r="Q89" s="90"/>
      <c r="R89" s="90"/>
      <c r="S89" s="130"/>
      <c r="T89" s="130"/>
      <c r="U89" s="128">
        <f t="shared" si="3"/>
        <v>21170.043799999996</v>
      </c>
      <c r="V89" s="92">
        <f t="shared" si="4"/>
        <v>1227862540.3999999</v>
      </c>
      <c r="W89" s="92">
        <f t="shared" si="5"/>
        <v>122786254.03999999</v>
      </c>
      <c r="X89" s="129">
        <v>1350648794.4400001</v>
      </c>
      <c r="Y89" s="115"/>
    </row>
    <row r="90" spans="1:25" s="94" customFormat="1" ht="30" customHeight="1">
      <c r="A90" s="85">
        <v>80</v>
      </c>
      <c r="B90" s="155" t="s">
        <v>57</v>
      </c>
      <c r="C90" s="126" t="s">
        <v>43</v>
      </c>
      <c r="D90" s="127" t="s">
        <v>51</v>
      </c>
      <c r="E90" s="127" t="s">
        <v>48</v>
      </c>
      <c r="F90" s="124" t="s">
        <v>59</v>
      </c>
      <c r="G90" s="88">
        <v>46217</v>
      </c>
      <c r="H90" s="87" t="s">
        <v>1351</v>
      </c>
      <c r="I90" s="88" t="s">
        <v>1341</v>
      </c>
      <c r="J90" s="89" t="s">
        <v>1353</v>
      </c>
      <c r="K90" s="89" t="s">
        <v>1349</v>
      </c>
      <c r="L90" s="89" t="s">
        <v>1227</v>
      </c>
      <c r="M90" s="118"/>
      <c r="N90" s="90">
        <v>60000</v>
      </c>
      <c r="O90" s="91"/>
      <c r="P90" s="90"/>
      <c r="Q90" s="90"/>
      <c r="R90" s="90"/>
      <c r="S90" s="130"/>
      <c r="T90" s="130"/>
      <c r="U90" s="128">
        <f t="shared" si="3"/>
        <v>21223.9974</v>
      </c>
      <c r="V90" s="92">
        <f t="shared" si="4"/>
        <v>1273439844</v>
      </c>
      <c r="W90" s="92">
        <f t="shared" si="5"/>
        <v>127343984.40000001</v>
      </c>
      <c r="X90" s="129">
        <v>1400783828.4000001</v>
      </c>
      <c r="Y90" s="115"/>
    </row>
    <row r="91" spans="1:25" s="94" customFormat="1" ht="30" customHeight="1">
      <c r="A91" s="85">
        <v>81</v>
      </c>
      <c r="B91" s="215" t="s">
        <v>534</v>
      </c>
      <c r="C91" s="126" t="s">
        <v>43</v>
      </c>
      <c r="D91" s="127" t="s">
        <v>51</v>
      </c>
      <c r="E91" s="127" t="s">
        <v>48</v>
      </c>
      <c r="F91" s="124" t="s">
        <v>59</v>
      </c>
      <c r="G91" s="88">
        <v>46218</v>
      </c>
      <c r="H91" s="87" t="s">
        <v>1358</v>
      </c>
      <c r="I91" s="88" t="s">
        <v>1360</v>
      </c>
      <c r="J91" s="89" t="s">
        <v>1362</v>
      </c>
      <c r="K91" s="89" t="s">
        <v>1364</v>
      </c>
      <c r="L91" s="89" t="s">
        <v>1365</v>
      </c>
      <c r="M91" s="118"/>
      <c r="N91" s="90">
        <v>20000</v>
      </c>
      <c r="O91" s="91"/>
      <c r="P91" s="90"/>
      <c r="Q91" s="90"/>
      <c r="R91" s="90"/>
      <c r="S91" s="130"/>
      <c r="T91" s="130"/>
      <c r="U91" s="128">
        <f t="shared" si="3"/>
        <v>21227.773799999999</v>
      </c>
      <c r="V91" s="92">
        <f t="shared" si="4"/>
        <v>424555476</v>
      </c>
      <c r="W91" s="92">
        <f t="shared" si="5"/>
        <v>42455547.600000001</v>
      </c>
      <c r="X91" s="129">
        <v>467011023.60000002</v>
      </c>
      <c r="Y91" s="115"/>
    </row>
    <row r="92" spans="1:25" s="94" customFormat="1" ht="30" customHeight="1">
      <c r="A92" s="85">
        <v>82</v>
      </c>
      <c r="B92" s="215" t="s">
        <v>534</v>
      </c>
      <c r="C92" s="126" t="s">
        <v>43</v>
      </c>
      <c r="D92" s="127" t="s">
        <v>51</v>
      </c>
      <c r="E92" s="127" t="s">
        <v>48</v>
      </c>
      <c r="F92" s="124" t="s">
        <v>59</v>
      </c>
      <c r="G92" s="88">
        <v>46218</v>
      </c>
      <c r="H92" s="87" t="s">
        <v>1359</v>
      </c>
      <c r="I92" s="88" t="s">
        <v>1361</v>
      </c>
      <c r="J92" s="89" t="s">
        <v>1363</v>
      </c>
      <c r="K92" s="89" t="s">
        <v>1364</v>
      </c>
      <c r="L92" s="89" t="s">
        <v>1365</v>
      </c>
      <c r="M92" s="118"/>
      <c r="N92" s="90">
        <v>20000</v>
      </c>
      <c r="O92" s="91"/>
      <c r="P92" s="90"/>
      <c r="Q92" s="90"/>
      <c r="R92" s="90"/>
      <c r="S92" s="130"/>
      <c r="T92" s="130"/>
      <c r="U92" s="128">
        <f t="shared" si="3"/>
        <v>21227.773799999999</v>
      </c>
      <c r="V92" s="92">
        <f t="shared" si="4"/>
        <v>424555476</v>
      </c>
      <c r="W92" s="92">
        <f t="shared" si="5"/>
        <v>42455547.600000001</v>
      </c>
      <c r="X92" s="129">
        <v>467011023.60000002</v>
      </c>
      <c r="Y92" s="115"/>
    </row>
    <row r="93" spans="1:25" s="94" customFormat="1" ht="30" customHeight="1">
      <c r="A93" s="85">
        <v>83</v>
      </c>
      <c r="B93" s="155" t="s">
        <v>57</v>
      </c>
      <c r="C93" s="126" t="s">
        <v>43</v>
      </c>
      <c r="D93" s="127" t="s">
        <v>51</v>
      </c>
      <c r="E93" s="127" t="s">
        <v>48</v>
      </c>
      <c r="F93" s="124" t="s">
        <v>59</v>
      </c>
      <c r="G93" s="88">
        <v>46217</v>
      </c>
      <c r="H93" s="87" t="s">
        <v>1395</v>
      </c>
      <c r="I93" s="88" t="s">
        <v>1396</v>
      </c>
      <c r="J93" s="89" t="s">
        <v>1397</v>
      </c>
      <c r="K93" s="89" t="s">
        <v>1398</v>
      </c>
      <c r="L93" s="89" t="s">
        <v>1228</v>
      </c>
      <c r="M93" s="118"/>
      <c r="N93" s="90">
        <v>146</v>
      </c>
      <c r="O93" s="91"/>
      <c r="P93" s="90"/>
      <c r="Q93" s="90"/>
      <c r="R93" s="90"/>
      <c r="S93" s="130"/>
      <c r="T93" s="130"/>
      <c r="U93" s="128">
        <f t="shared" si="3"/>
        <v>21170.043773349935</v>
      </c>
      <c r="V93" s="92">
        <f t="shared" si="4"/>
        <v>3090826.3909090906</v>
      </c>
      <c r="W93" s="92">
        <f t="shared" si="5"/>
        <v>309082.6390909091</v>
      </c>
      <c r="X93" s="129">
        <v>3399909.03</v>
      </c>
      <c r="Y93" s="115"/>
    </row>
    <row r="94" spans="1:25" s="94" customFormat="1" ht="30" customHeight="1">
      <c r="A94" s="85">
        <v>84</v>
      </c>
      <c r="B94" s="155" t="s">
        <v>57</v>
      </c>
      <c r="C94" s="126" t="s">
        <v>43</v>
      </c>
      <c r="D94" s="127" t="s">
        <v>51</v>
      </c>
      <c r="E94" s="127" t="s">
        <v>48</v>
      </c>
      <c r="F94" s="124" t="s">
        <v>59</v>
      </c>
      <c r="G94" s="88">
        <v>46217</v>
      </c>
      <c r="H94" s="87" t="s">
        <v>1399</v>
      </c>
      <c r="I94" s="88" t="s">
        <v>1400</v>
      </c>
      <c r="J94" s="89" t="s">
        <v>1401</v>
      </c>
      <c r="K94" s="89" t="s">
        <v>1402</v>
      </c>
      <c r="L94" s="89" t="s">
        <v>1228</v>
      </c>
      <c r="M94" s="118"/>
      <c r="N94" s="90">
        <v>1652</v>
      </c>
      <c r="O94" s="91"/>
      <c r="P94" s="90"/>
      <c r="Q94" s="90"/>
      <c r="R94" s="90"/>
      <c r="S94" s="130"/>
      <c r="T94" s="130"/>
      <c r="U94" s="128">
        <f t="shared" si="3"/>
        <v>21170.043803653971</v>
      </c>
      <c r="V94" s="92">
        <f t="shared" si="4"/>
        <v>34972912.36363636</v>
      </c>
      <c r="W94" s="92">
        <f t="shared" si="5"/>
        <v>3497291.2363636363</v>
      </c>
      <c r="X94" s="129">
        <v>38470203.600000001</v>
      </c>
      <c r="Y94" s="115"/>
    </row>
    <row r="95" spans="1:25" s="94" customFormat="1" ht="30" customHeight="1">
      <c r="A95" s="85">
        <v>85</v>
      </c>
      <c r="B95" s="155" t="s">
        <v>57</v>
      </c>
      <c r="C95" s="126" t="s">
        <v>43</v>
      </c>
      <c r="D95" s="127" t="s">
        <v>51</v>
      </c>
      <c r="E95" s="127" t="s">
        <v>48</v>
      </c>
      <c r="F95" s="124" t="s">
        <v>59</v>
      </c>
      <c r="G95" s="88">
        <v>46214</v>
      </c>
      <c r="H95" s="87" t="s">
        <v>1480</v>
      </c>
      <c r="I95" s="88" t="s">
        <v>1481</v>
      </c>
      <c r="J95" s="89" t="s">
        <v>1482</v>
      </c>
      <c r="K95" s="89" t="s">
        <v>1483</v>
      </c>
      <c r="L95" s="89" t="s">
        <v>1013</v>
      </c>
      <c r="M95" s="118"/>
      <c r="N95" s="90">
        <v>1541</v>
      </c>
      <c r="O95" s="91"/>
      <c r="P95" s="90"/>
      <c r="Q95" s="90"/>
      <c r="R95" s="90"/>
      <c r="S95" s="130"/>
      <c r="T95" s="130"/>
      <c r="U95" s="128">
        <f t="shared" si="3"/>
        <v>20208.618600672526</v>
      </c>
      <c r="V95" s="92">
        <f t="shared" si="4"/>
        <v>31141481.263636362</v>
      </c>
      <c r="W95" s="92">
        <f t="shared" si="5"/>
        <v>3114148.1263636365</v>
      </c>
      <c r="X95" s="129">
        <v>34255629.390000001</v>
      </c>
      <c r="Y95" s="115"/>
    </row>
    <row r="96" spans="1:25" s="94" customFormat="1" ht="30" customHeight="1">
      <c r="A96" s="85">
        <v>86</v>
      </c>
      <c r="B96" s="155" t="s">
        <v>57</v>
      </c>
      <c r="C96" s="126" t="s">
        <v>43</v>
      </c>
      <c r="D96" s="127" t="s">
        <v>51</v>
      </c>
      <c r="E96" s="127" t="s">
        <v>48</v>
      </c>
      <c r="F96" s="124" t="s">
        <v>59</v>
      </c>
      <c r="G96" s="88">
        <v>46214</v>
      </c>
      <c r="H96" s="87" t="s">
        <v>1484</v>
      </c>
      <c r="I96" s="88" t="s">
        <v>1485</v>
      </c>
      <c r="J96" s="89" t="s">
        <v>1486</v>
      </c>
      <c r="K96" s="89" t="s">
        <v>1297</v>
      </c>
      <c r="L96" s="89" t="s">
        <v>1013</v>
      </c>
      <c r="M96" s="118"/>
      <c r="N96" s="90">
        <v>63</v>
      </c>
      <c r="O96" s="91"/>
      <c r="P96" s="90"/>
      <c r="Q96" s="90"/>
      <c r="R96" s="90"/>
      <c r="S96" s="130"/>
      <c r="T96" s="130"/>
      <c r="U96" s="128">
        <f t="shared" si="3"/>
        <v>20208.618614718613</v>
      </c>
      <c r="V96" s="92">
        <f t="shared" si="4"/>
        <v>1273142.9727272727</v>
      </c>
      <c r="W96" s="92">
        <f t="shared" si="5"/>
        <v>127314.29727272727</v>
      </c>
      <c r="X96" s="129">
        <v>1400457.27</v>
      </c>
      <c r="Y96" s="115"/>
    </row>
    <row r="97" spans="1:25" s="94" customFormat="1" ht="30" customHeight="1">
      <c r="A97" s="85">
        <v>87</v>
      </c>
      <c r="B97" s="215" t="s">
        <v>534</v>
      </c>
      <c r="C97" s="126" t="s">
        <v>43</v>
      </c>
      <c r="D97" s="127" t="s">
        <v>51</v>
      </c>
      <c r="E97" s="127" t="s">
        <v>48</v>
      </c>
      <c r="F97" s="124" t="s">
        <v>59</v>
      </c>
      <c r="G97" s="88">
        <v>46219</v>
      </c>
      <c r="H97" s="87" t="s">
        <v>1487</v>
      </c>
      <c r="I97" s="88" t="s">
        <v>1472</v>
      </c>
      <c r="J97" s="89" t="s">
        <v>1489</v>
      </c>
      <c r="K97" s="89" t="s">
        <v>1491</v>
      </c>
      <c r="L97" s="89" t="s">
        <v>1492</v>
      </c>
      <c r="M97" s="118"/>
      <c r="N97" s="90">
        <v>20000</v>
      </c>
      <c r="O97" s="91"/>
      <c r="P97" s="90"/>
      <c r="Q97" s="90"/>
      <c r="R97" s="90"/>
      <c r="S97" s="130"/>
      <c r="T97" s="130"/>
      <c r="U97" s="128">
        <f t="shared" si="3"/>
        <v>21453.362199999996</v>
      </c>
      <c r="V97" s="92">
        <f t="shared" si="4"/>
        <v>429067243.99999994</v>
      </c>
      <c r="W97" s="92">
        <f t="shared" si="5"/>
        <v>42906724.399999999</v>
      </c>
      <c r="X97" s="129">
        <v>471973968.39999998</v>
      </c>
      <c r="Y97" s="115"/>
    </row>
    <row r="98" spans="1:25" s="94" customFormat="1" ht="30" customHeight="1">
      <c r="A98" s="85">
        <v>88</v>
      </c>
      <c r="B98" s="215" t="s">
        <v>534</v>
      </c>
      <c r="C98" s="126" t="s">
        <v>43</v>
      </c>
      <c r="D98" s="127" t="s">
        <v>51</v>
      </c>
      <c r="E98" s="127" t="s">
        <v>48</v>
      </c>
      <c r="F98" s="124" t="s">
        <v>59</v>
      </c>
      <c r="G98" s="88">
        <v>46219</v>
      </c>
      <c r="H98" s="87" t="s">
        <v>1488</v>
      </c>
      <c r="I98" s="88" t="s">
        <v>1473</v>
      </c>
      <c r="J98" s="89" t="s">
        <v>1490</v>
      </c>
      <c r="K98" s="89" t="s">
        <v>1491</v>
      </c>
      <c r="L98" s="89" t="s">
        <v>1492</v>
      </c>
      <c r="M98" s="118"/>
      <c r="N98" s="90">
        <v>20000</v>
      </c>
      <c r="O98" s="91"/>
      <c r="P98" s="90"/>
      <c r="Q98" s="90"/>
      <c r="R98" s="90"/>
      <c r="S98" s="130"/>
      <c r="T98" s="130"/>
      <c r="U98" s="128">
        <f t="shared" si="3"/>
        <v>21453.362199999996</v>
      </c>
      <c r="V98" s="92">
        <f t="shared" si="4"/>
        <v>429067243.99999994</v>
      </c>
      <c r="W98" s="92">
        <f t="shared" si="5"/>
        <v>42906724.399999999</v>
      </c>
      <c r="X98" s="129">
        <v>471973968.39999998</v>
      </c>
      <c r="Y98" s="115"/>
    </row>
    <row r="99" spans="1:25" s="94" customFormat="1" ht="30" customHeight="1">
      <c r="A99" s="85">
        <v>89</v>
      </c>
      <c r="B99" s="155" t="s">
        <v>57</v>
      </c>
      <c r="C99" s="126" t="s">
        <v>43</v>
      </c>
      <c r="D99" s="127" t="s">
        <v>51</v>
      </c>
      <c r="E99" s="127" t="s">
        <v>48</v>
      </c>
      <c r="F99" s="124" t="s">
        <v>59</v>
      </c>
      <c r="G99" s="88">
        <v>46218</v>
      </c>
      <c r="H99" s="87" t="s">
        <v>1493</v>
      </c>
      <c r="I99" s="88" t="s">
        <v>1494</v>
      </c>
      <c r="J99" s="89" t="s">
        <v>1495</v>
      </c>
      <c r="K99" s="89" t="s">
        <v>1496</v>
      </c>
      <c r="L99" s="89" t="s">
        <v>1365</v>
      </c>
      <c r="M99" s="118"/>
      <c r="N99" s="90">
        <v>40000</v>
      </c>
      <c r="O99" s="91"/>
      <c r="P99" s="90"/>
      <c r="Q99" s="90"/>
      <c r="R99" s="90"/>
      <c r="S99" s="130"/>
      <c r="T99" s="130"/>
      <c r="U99" s="128">
        <f t="shared" si="3"/>
        <v>21227.773799999999</v>
      </c>
      <c r="V99" s="92">
        <f t="shared" si="4"/>
        <v>849110952</v>
      </c>
      <c r="W99" s="92">
        <f t="shared" si="5"/>
        <v>84911095.200000003</v>
      </c>
      <c r="X99" s="129">
        <v>934022047.20000005</v>
      </c>
      <c r="Y99" s="115"/>
    </row>
    <row r="100" spans="1:25" s="94" customFormat="1" ht="30" customHeight="1">
      <c r="A100" s="85">
        <v>90</v>
      </c>
      <c r="B100" s="155" t="s">
        <v>57</v>
      </c>
      <c r="C100" s="126" t="s">
        <v>43</v>
      </c>
      <c r="D100" s="127" t="s">
        <v>51</v>
      </c>
      <c r="E100" s="127" t="s">
        <v>48</v>
      </c>
      <c r="F100" s="124" t="s">
        <v>59</v>
      </c>
      <c r="G100" s="88">
        <v>46218</v>
      </c>
      <c r="H100" s="87" t="s">
        <v>1497</v>
      </c>
      <c r="I100" s="88" t="s">
        <v>1498</v>
      </c>
      <c r="J100" s="89" t="s">
        <v>1499</v>
      </c>
      <c r="K100" s="89" t="s">
        <v>1500</v>
      </c>
      <c r="L100" s="89" t="s">
        <v>1365</v>
      </c>
      <c r="M100" s="118"/>
      <c r="N100" s="90">
        <v>40000</v>
      </c>
      <c r="O100" s="91"/>
      <c r="P100" s="90"/>
      <c r="Q100" s="90"/>
      <c r="R100" s="90"/>
      <c r="S100" s="130"/>
      <c r="T100" s="130"/>
      <c r="U100" s="128">
        <f t="shared" si="3"/>
        <v>21173.810599999997</v>
      </c>
      <c r="V100" s="92">
        <f t="shared" si="4"/>
        <v>846952423.99999988</v>
      </c>
      <c r="W100" s="92">
        <f t="shared" si="5"/>
        <v>84695242.399999991</v>
      </c>
      <c r="X100" s="129">
        <v>931647666.39999998</v>
      </c>
      <c r="Y100" s="115"/>
    </row>
    <row r="101" spans="1:25" s="94" customFormat="1" ht="30" customHeight="1">
      <c r="A101" s="85">
        <v>91</v>
      </c>
      <c r="B101" s="155" t="s">
        <v>57</v>
      </c>
      <c r="C101" s="126" t="s">
        <v>43</v>
      </c>
      <c r="D101" s="127" t="s">
        <v>51</v>
      </c>
      <c r="E101" s="127" t="s">
        <v>48</v>
      </c>
      <c r="F101" s="124" t="s">
        <v>59</v>
      </c>
      <c r="G101" s="88">
        <v>46218</v>
      </c>
      <c r="H101" s="87" t="s">
        <v>1501</v>
      </c>
      <c r="I101" s="88" t="s">
        <v>1502</v>
      </c>
      <c r="J101" s="89" t="s">
        <v>1503</v>
      </c>
      <c r="K101" s="89" t="s">
        <v>1504</v>
      </c>
      <c r="L101" s="89" t="s">
        <v>1365</v>
      </c>
      <c r="M101" s="118"/>
      <c r="N101" s="90">
        <v>5000</v>
      </c>
      <c r="O101" s="91"/>
      <c r="P101" s="90"/>
      <c r="Q101" s="90"/>
      <c r="R101" s="90"/>
      <c r="S101" s="130"/>
      <c r="T101" s="130"/>
      <c r="U101" s="128">
        <f t="shared" si="3"/>
        <v>21173.810599999997</v>
      </c>
      <c r="V101" s="92">
        <f t="shared" si="4"/>
        <v>105869052.99999999</v>
      </c>
      <c r="W101" s="92">
        <f t="shared" si="5"/>
        <v>10586905.299999999</v>
      </c>
      <c r="X101" s="129">
        <v>116455958.3</v>
      </c>
      <c r="Y101" s="115"/>
    </row>
    <row r="102" spans="1:25" s="94" customFormat="1" ht="30" customHeight="1">
      <c r="A102" s="85">
        <v>92</v>
      </c>
      <c r="B102" s="155" t="s">
        <v>57</v>
      </c>
      <c r="C102" s="126" t="s">
        <v>43</v>
      </c>
      <c r="D102" s="127" t="s">
        <v>51</v>
      </c>
      <c r="E102" s="127" t="s">
        <v>48</v>
      </c>
      <c r="F102" s="124" t="s">
        <v>59</v>
      </c>
      <c r="G102" s="88">
        <v>46218</v>
      </c>
      <c r="H102" s="87" t="s">
        <v>1505</v>
      </c>
      <c r="I102" s="88" t="s">
        <v>1506</v>
      </c>
      <c r="J102" s="89" t="s">
        <v>1507</v>
      </c>
      <c r="K102" s="89" t="s">
        <v>1508</v>
      </c>
      <c r="L102" s="89" t="s">
        <v>1365</v>
      </c>
      <c r="M102" s="118"/>
      <c r="N102" s="90">
        <v>5000</v>
      </c>
      <c r="O102" s="91"/>
      <c r="P102" s="90"/>
      <c r="Q102" s="90"/>
      <c r="R102" s="90"/>
      <c r="S102" s="130"/>
      <c r="T102" s="130"/>
      <c r="U102" s="128">
        <f t="shared" si="3"/>
        <v>21173.810599999997</v>
      </c>
      <c r="V102" s="92">
        <f t="shared" si="4"/>
        <v>105869052.99999999</v>
      </c>
      <c r="W102" s="92">
        <f t="shared" si="5"/>
        <v>10586905.299999999</v>
      </c>
      <c r="X102" s="129">
        <v>116455958.3</v>
      </c>
      <c r="Y102" s="115"/>
    </row>
    <row r="103" spans="1:25" s="94" customFormat="1" ht="30" customHeight="1">
      <c r="A103" s="85">
        <v>93</v>
      </c>
      <c r="B103" s="155" t="s">
        <v>57</v>
      </c>
      <c r="C103" s="126" t="s">
        <v>43</v>
      </c>
      <c r="D103" s="127" t="s">
        <v>51</v>
      </c>
      <c r="E103" s="127" t="s">
        <v>48</v>
      </c>
      <c r="F103" s="124" t="s">
        <v>59</v>
      </c>
      <c r="G103" s="88">
        <v>46218</v>
      </c>
      <c r="H103" s="87" t="s">
        <v>1509</v>
      </c>
      <c r="I103" s="88" t="s">
        <v>1510</v>
      </c>
      <c r="J103" s="89" t="s">
        <v>1511</v>
      </c>
      <c r="K103" s="89" t="s">
        <v>1512</v>
      </c>
      <c r="L103" s="89" t="s">
        <v>1365</v>
      </c>
      <c r="M103" s="118"/>
      <c r="N103" s="90">
        <v>1617</v>
      </c>
      <c r="O103" s="91"/>
      <c r="P103" s="90"/>
      <c r="Q103" s="90"/>
      <c r="R103" s="90"/>
      <c r="S103" s="130"/>
      <c r="T103" s="130"/>
      <c r="U103" s="128">
        <f t="shared" si="3"/>
        <v>21173.810597627475</v>
      </c>
      <c r="V103" s="92">
        <f t="shared" si="4"/>
        <v>34238051.736363627</v>
      </c>
      <c r="W103" s="92">
        <f t="shared" si="5"/>
        <v>3423805.1736363629</v>
      </c>
      <c r="X103" s="129">
        <v>37661856.909999996</v>
      </c>
      <c r="Y103" s="115"/>
    </row>
    <row r="104" spans="1:25" s="94" customFormat="1" ht="30" customHeight="1">
      <c r="A104" s="85">
        <v>94</v>
      </c>
      <c r="B104" s="155" t="s">
        <v>57</v>
      </c>
      <c r="C104" s="126" t="s">
        <v>43</v>
      </c>
      <c r="D104" s="127" t="s">
        <v>51</v>
      </c>
      <c r="E104" s="127" t="s">
        <v>48</v>
      </c>
      <c r="F104" s="124" t="s">
        <v>59</v>
      </c>
      <c r="G104" s="88">
        <v>46218</v>
      </c>
      <c r="H104" s="87" t="s">
        <v>1513</v>
      </c>
      <c r="I104" s="88" t="s">
        <v>1514</v>
      </c>
      <c r="J104" s="89" t="s">
        <v>1515</v>
      </c>
      <c r="K104" s="89" t="s">
        <v>1516</v>
      </c>
      <c r="L104" s="89" t="s">
        <v>1365</v>
      </c>
      <c r="M104" s="118"/>
      <c r="N104" s="90">
        <v>200</v>
      </c>
      <c r="O104" s="91"/>
      <c r="P104" s="90"/>
      <c r="Q104" s="90"/>
      <c r="R104" s="90"/>
      <c r="S104" s="130"/>
      <c r="T104" s="130"/>
      <c r="U104" s="128">
        <f t="shared" si="3"/>
        <v>21173.810590909092</v>
      </c>
      <c r="V104" s="92">
        <f t="shared" si="4"/>
        <v>4234762.1181818182</v>
      </c>
      <c r="W104" s="92">
        <f t="shared" si="5"/>
        <v>423476.21181818185</v>
      </c>
      <c r="X104" s="129">
        <v>4658238.33</v>
      </c>
      <c r="Y104" s="115"/>
    </row>
    <row r="105" spans="1:25" s="94" customFormat="1" ht="30" customHeight="1">
      <c r="A105" s="85">
        <v>95</v>
      </c>
      <c r="B105" s="86" t="s">
        <v>50</v>
      </c>
      <c r="C105" s="127" t="s">
        <v>43</v>
      </c>
      <c r="D105" s="127" t="s">
        <v>51</v>
      </c>
      <c r="E105" s="127" t="s">
        <v>48</v>
      </c>
      <c r="F105" s="117" t="s">
        <v>49</v>
      </c>
      <c r="G105" s="88">
        <v>46216</v>
      </c>
      <c r="H105" s="87" t="s">
        <v>1534</v>
      </c>
      <c r="I105" s="88" t="s">
        <v>1535</v>
      </c>
      <c r="J105" s="89" t="s">
        <v>1536</v>
      </c>
      <c r="K105" s="89" t="s">
        <v>1537</v>
      </c>
      <c r="L105" s="89" t="s">
        <v>1028</v>
      </c>
      <c r="M105" s="118" t="s">
        <v>2703</v>
      </c>
      <c r="N105" s="90">
        <v>326</v>
      </c>
      <c r="O105" s="91">
        <v>46211</v>
      </c>
      <c r="P105" s="90" t="s">
        <v>964</v>
      </c>
      <c r="Q105" s="90">
        <v>80</v>
      </c>
      <c r="R105" s="90">
        <v>25610</v>
      </c>
      <c r="S105" s="130">
        <v>400</v>
      </c>
      <c r="T105" s="90">
        <f>+R105-S105</f>
        <v>25210</v>
      </c>
      <c r="U105" s="128">
        <f>+V105/N105</f>
        <v>22918.181818181816</v>
      </c>
      <c r="V105" s="92">
        <f>+N105*T105*0.909090909090909</f>
        <v>7471327.2727272715</v>
      </c>
      <c r="W105" s="92">
        <f>+V105*10%</f>
        <v>747132.72727272718</v>
      </c>
      <c r="X105" s="93">
        <f>SUM(V105:W105)</f>
        <v>8218459.9999999991</v>
      </c>
      <c r="Y105" s="115"/>
    </row>
    <row r="106" spans="1:25" s="94" customFormat="1" ht="30" customHeight="1">
      <c r="A106" s="85">
        <v>96</v>
      </c>
      <c r="B106" s="200" t="s">
        <v>536</v>
      </c>
      <c r="C106" s="126" t="s">
        <v>43</v>
      </c>
      <c r="D106" s="127" t="s">
        <v>51</v>
      </c>
      <c r="E106" s="127" t="s">
        <v>48</v>
      </c>
      <c r="F106" s="124" t="s">
        <v>537</v>
      </c>
      <c r="G106" s="88">
        <v>46219</v>
      </c>
      <c r="H106" s="87" t="s">
        <v>1542</v>
      </c>
      <c r="I106" s="88" t="s">
        <v>1543</v>
      </c>
      <c r="J106" s="89" t="s">
        <v>1544</v>
      </c>
      <c r="K106" s="89" t="s">
        <v>1545</v>
      </c>
      <c r="L106" s="89" t="s">
        <v>1492</v>
      </c>
      <c r="M106" s="118"/>
      <c r="N106" s="90">
        <v>10000</v>
      </c>
      <c r="O106" s="91"/>
      <c r="P106" s="90"/>
      <c r="Q106" s="90"/>
      <c r="R106" s="90"/>
      <c r="S106" s="130"/>
      <c r="T106" s="130"/>
      <c r="U106" s="128">
        <f t="shared" si="3"/>
        <v>21399.4254</v>
      </c>
      <c r="V106" s="92">
        <f t="shared" si="4"/>
        <v>213994254</v>
      </c>
      <c r="W106" s="92">
        <f t="shared" si="5"/>
        <v>21399425.400000002</v>
      </c>
      <c r="X106" s="129">
        <v>235393679.40000001</v>
      </c>
      <c r="Y106" s="115"/>
    </row>
    <row r="107" spans="1:25" s="94" customFormat="1" ht="30" customHeight="1">
      <c r="A107" s="85">
        <v>97</v>
      </c>
      <c r="B107" s="86" t="s">
        <v>1058</v>
      </c>
      <c r="C107" s="126" t="s">
        <v>43</v>
      </c>
      <c r="D107" s="127" t="s">
        <v>51</v>
      </c>
      <c r="E107" s="127" t="s">
        <v>48</v>
      </c>
      <c r="F107" s="124" t="s">
        <v>1059</v>
      </c>
      <c r="G107" s="88">
        <v>46219</v>
      </c>
      <c r="H107" s="87" t="s">
        <v>1546</v>
      </c>
      <c r="I107" s="88" t="s">
        <v>1547</v>
      </c>
      <c r="J107" s="89" t="s">
        <v>1548</v>
      </c>
      <c r="K107" s="89" t="s">
        <v>82</v>
      </c>
      <c r="L107" s="89" t="s">
        <v>1492</v>
      </c>
      <c r="M107" s="118"/>
      <c r="N107" s="90">
        <v>40000</v>
      </c>
      <c r="O107" s="91">
        <v>46218</v>
      </c>
      <c r="P107" s="90" t="s">
        <v>1549</v>
      </c>
      <c r="Q107" s="90">
        <v>80</v>
      </c>
      <c r="R107" s="90">
        <v>28800</v>
      </c>
      <c r="S107" s="130">
        <v>600</v>
      </c>
      <c r="T107" s="90">
        <f>+R107-S107</f>
        <v>28200</v>
      </c>
      <c r="U107" s="128">
        <f>+V107/N107</f>
        <v>25636.363636363632</v>
      </c>
      <c r="V107" s="92">
        <f>+N107*T107*0.909090909090909</f>
        <v>1025454545.4545453</v>
      </c>
      <c r="W107" s="92">
        <f>+V107*10%</f>
        <v>102545454.54545453</v>
      </c>
      <c r="X107" s="93">
        <f>SUM(V107:W107)</f>
        <v>1127999999.9999998</v>
      </c>
      <c r="Y107" s="115"/>
    </row>
    <row r="108" spans="1:25" s="94" customFormat="1" ht="30" customHeight="1">
      <c r="A108" s="85">
        <v>98</v>
      </c>
      <c r="B108" s="155" t="s">
        <v>57</v>
      </c>
      <c r="C108" s="126" t="s">
        <v>43</v>
      </c>
      <c r="D108" s="127" t="s">
        <v>51</v>
      </c>
      <c r="E108" s="127" t="s">
        <v>48</v>
      </c>
      <c r="F108" s="124" t="s">
        <v>59</v>
      </c>
      <c r="G108" s="88">
        <v>46219</v>
      </c>
      <c r="H108" s="87" t="s">
        <v>1558</v>
      </c>
      <c r="I108" s="88" t="s">
        <v>1559</v>
      </c>
      <c r="J108" s="89" t="s">
        <v>1560</v>
      </c>
      <c r="K108" s="89" t="s">
        <v>1561</v>
      </c>
      <c r="L108" s="89" t="s">
        <v>1492</v>
      </c>
      <c r="M108" s="118"/>
      <c r="N108" s="90">
        <v>60000</v>
      </c>
      <c r="O108" s="91"/>
      <c r="P108" s="90"/>
      <c r="Q108" s="90"/>
      <c r="R108" s="90"/>
      <c r="S108" s="130"/>
      <c r="T108" s="130"/>
      <c r="U108" s="128">
        <f t="shared" si="3"/>
        <v>21453.3622</v>
      </c>
      <c r="V108" s="92">
        <f t="shared" si="4"/>
        <v>1287201732</v>
      </c>
      <c r="W108" s="92">
        <f t="shared" si="5"/>
        <v>128720173.2</v>
      </c>
      <c r="X108" s="129">
        <v>1415921905.2</v>
      </c>
      <c r="Y108" s="115"/>
    </row>
    <row r="109" spans="1:25" s="94" customFormat="1" ht="30" customHeight="1">
      <c r="A109" s="85">
        <v>99</v>
      </c>
      <c r="B109" s="155" t="s">
        <v>57</v>
      </c>
      <c r="C109" s="126" t="s">
        <v>43</v>
      </c>
      <c r="D109" s="127" t="s">
        <v>51</v>
      </c>
      <c r="E109" s="127" t="s">
        <v>48</v>
      </c>
      <c r="F109" s="124" t="s">
        <v>59</v>
      </c>
      <c r="G109" s="88">
        <v>46219</v>
      </c>
      <c r="H109" s="87" t="s">
        <v>1562</v>
      </c>
      <c r="I109" s="88" t="s">
        <v>1563</v>
      </c>
      <c r="J109" s="89" t="s">
        <v>1564</v>
      </c>
      <c r="K109" s="89" t="s">
        <v>1565</v>
      </c>
      <c r="L109" s="89" t="s">
        <v>1492</v>
      </c>
      <c r="M109" s="118"/>
      <c r="N109" s="90">
        <v>5000</v>
      </c>
      <c r="O109" s="91"/>
      <c r="P109" s="90"/>
      <c r="Q109" s="90"/>
      <c r="R109" s="90"/>
      <c r="S109" s="130"/>
      <c r="T109" s="130"/>
      <c r="U109" s="128">
        <f t="shared" si="3"/>
        <v>21399.4254</v>
      </c>
      <c r="V109" s="92">
        <f t="shared" si="4"/>
        <v>106997127</v>
      </c>
      <c r="W109" s="92">
        <f t="shared" si="5"/>
        <v>10699712.700000001</v>
      </c>
      <c r="X109" s="129">
        <v>117696839.7</v>
      </c>
      <c r="Y109" s="115"/>
    </row>
    <row r="110" spans="1:25" s="94" customFormat="1" ht="30" customHeight="1">
      <c r="A110" s="85">
        <v>100</v>
      </c>
      <c r="B110" s="155" t="s">
        <v>57</v>
      </c>
      <c r="C110" s="126" t="s">
        <v>43</v>
      </c>
      <c r="D110" s="127" t="s">
        <v>51</v>
      </c>
      <c r="E110" s="127" t="s">
        <v>48</v>
      </c>
      <c r="F110" s="124" t="s">
        <v>59</v>
      </c>
      <c r="G110" s="88">
        <v>46219</v>
      </c>
      <c r="H110" s="87" t="s">
        <v>1566</v>
      </c>
      <c r="I110" s="88" t="s">
        <v>1567</v>
      </c>
      <c r="J110" s="89" t="s">
        <v>1568</v>
      </c>
      <c r="K110" s="89" t="s">
        <v>1569</v>
      </c>
      <c r="L110" s="89" t="s">
        <v>1492</v>
      </c>
      <c r="M110" s="118"/>
      <c r="N110" s="90">
        <v>40000</v>
      </c>
      <c r="O110" s="91"/>
      <c r="P110" s="90"/>
      <c r="Q110" s="90"/>
      <c r="R110" s="90"/>
      <c r="S110" s="130"/>
      <c r="T110" s="130"/>
      <c r="U110" s="128">
        <f t="shared" si="3"/>
        <v>21399.4254</v>
      </c>
      <c r="V110" s="92">
        <f t="shared" si="4"/>
        <v>855977016</v>
      </c>
      <c r="W110" s="92">
        <f t="shared" si="5"/>
        <v>85597701.600000009</v>
      </c>
      <c r="X110" s="129">
        <v>941574717.60000002</v>
      </c>
      <c r="Y110" s="115"/>
    </row>
    <row r="111" spans="1:25" s="94" customFormat="1" ht="30" customHeight="1">
      <c r="A111" s="85">
        <v>101</v>
      </c>
      <c r="B111" s="215" t="s">
        <v>534</v>
      </c>
      <c r="C111" s="126" t="s">
        <v>43</v>
      </c>
      <c r="D111" s="127" t="s">
        <v>51</v>
      </c>
      <c r="E111" s="127" t="s">
        <v>48</v>
      </c>
      <c r="F111" s="124" t="s">
        <v>59</v>
      </c>
      <c r="G111" s="88">
        <v>46220</v>
      </c>
      <c r="H111" s="87" t="s">
        <v>1578</v>
      </c>
      <c r="I111" s="88" t="s">
        <v>1580</v>
      </c>
      <c r="J111" s="89" t="s">
        <v>1582</v>
      </c>
      <c r="K111" s="89" t="s">
        <v>95</v>
      </c>
      <c r="L111" s="89" t="s">
        <v>1585</v>
      </c>
      <c r="M111" s="118"/>
      <c r="N111" s="90">
        <v>20000</v>
      </c>
      <c r="O111" s="91"/>
      <c r="P111" s="90"/>
      <c r="Q111" s="90"/>
      <c r="R111" s="90"/>
      <c r="S111" s="130"/>
      <c r="T111" s="130"/>
      <c r="U111" s="128">
        <f t="shared" si="3"/>
        <v>21474.363399999998</v>
      </c>
      <c r="V111" s="92">
        <f t="shared" si="4"/>
        <v>429487268</v>
      </c>
      <c r="W111" s="92">
        <f t="shared" si="5"/>
        <v>42948726.800000004</v>
      </c>
      <c r="X111" s="129">
        <v>472435994.80000001</v>
      </c>
      <c r="Y111" s="115"/>
    </row>
    <row r="112" spans="1:25" s="94" customFormat="1" ht="30" customHeight="1">
      <c r="A112" s="85">
        <v>102</v>
      </c>
      <c r="B112" s="215" t="s">
        <v>534</v>
      </c>
      <c r="C112" s="126" t="s">
        <v>43</v>
      </c>
      <c r="D112" s="127" t="s">
        <v>51</v>
      </c>
      <c r="E112" s="127" t="s">
        <v>48</v>
      </c>
      <c r="F112" s="124" t="s">
        <v>59</v>
      </c>
      <c r="G112" s="88">
        <v>46220</v>
      </c>
      <c r="H112" s="87" t="s">
        <v>1579</v>
      </c>
      <c r="I112" s="88" t="s">
        <v>1581</v>
      </c>
      <c r="J112" s="89" t="s">
        <v>1583</v>
      </c>
      <c r="K112" s="89" t="s">
        <v>95</v>
      </c>
      <c r="L112" s="89" t="s">
        <v>1585</v>
      </c>
      <c r="M112" s="118"/>
      <c r="N112" s="90">
        <v>20000</v>
      </c>
      <c r="O112" s="91"/>
      <c r="P112" s="90"/>
      <c r="Q112" s="90"/>
      <c r="R112" s="90"/>
      <c r="S112" s="130"/>
      <c r="T112" s="130"/>
      <c r="U112" s="128">
        <f t="shared" si="3"/>
        <v>21474.363399999998</v>
      </c>
      <c r="V112" s="92">
        <f t="shared" si="4"/>
        <v>429487268</v>
      </c>
      <c r="W112" s="92">
        <f t="shared" si="5"/>
        <v>42948726.800000004</v>
      </c>
      <c r="X112" s="129">
        <v>472435994.80000001</v>
      </c>
      <c r="Y112" s="115"/>
    </row>
    <row r="113" spans="1:25" s="94" customFormat="1" ht="30" customHeight="1">
      <c r="A113" s="85">
        <v>103</v>
      </c>
      <c r="B113" s="155" t="s">
        <v>57</v>
      </c>
      <c r="C113" s="126" t="s">
        <v>43</v>
      </c>
      <c r="D113" s="127" t="s">
        <v>51</v>
      </c>
      <c r="E113" s="127" t="s">
        <v>48</v>
      </c>
      <c r="F113" s="124" t="s">
        <v>59</v>
      </c>
      <c r="G113" s="88">
        <v>46219</v>
      </c>
      <c r="H113" s="87" t="s">
        <v>1649</v>
      </c>
      <c r="I113" s="88" t="s">
        <v>1651</v>
      </c>
      <c r="J113" s="89" t="s">
        <v>1648</v>
      </c>
      <c r="K113" s="89" t="s">
        <v>1650</v>
      </c>
      <c r="L113" s="89" t="s">
        <v>1492</v>
      </c>
      <c r="M113" s="118"/>
      <c r="N113" s="90">
        <v>345</v>
      </c>
      <c r="O113" s="91"/>
      <c r="P113" s="90"/>
      <c r="Q113" s="90"/>
      <c r="R113" s="90"/>
      <c r="S113" s="130"/>
      <c r="T113" s="130"/>
      <c r="U113" s="128">
        <f t="shared" si="3"/>
        <v>21399.425401844532</v>
      </c>
      <c r="V113" s="92">
        <f t="shared" si="4"/>
        <v>7382801.7636363637</v>
      </c>
      <c r="W113" s="92">
        <f t="shared" si="5"/>
        <v>738280.17636363639</v>
      </c>
      <c r="X113" s="129">
        <v>8121081.9400000004</v>
      </c>
      <c r="Y113" s="115"/>
    </row>
    <row r="114" spans="1:25" s="94" customFormat="1" ht="30" customHeight="1">
      <c r="A114" s="85">
        <v>104</v>
      </c>
      <c r="B114" s="155" t="s">
        <v>57</v>
      </c>
      <c r="C114" s="126" t="s">
        <v>43</v>
      </c>
      <c r="D114" s="127" t="s">
        <v>51</v>
      </c>
      <c r="E114" s="127" t="s">
        <v>48</v>
      </c>
      <c r="F114" s="124" t="s">
        <v>59</v>
      </c>
      <c r="G114" s="88">
        <v>46219</v>
      </c>
      <c r="H114" s="87" t="s">
        <v>1645</v>
      </c>
      <c r="I114" s="88" t="s">
        <v>1646</v>
      </c>
      <c r="J114" s="89" t="s">
        <v>1647</v>
      </c>
      <c r="K114" s="89" t="s">
        <v>125</v>
      </c>
      <c r="L114" s="89" t="s">
        <v>1492</v>
      </c>
      <c r="M114" s="118"/>
      <c r="N114" s="90">
        <v>1931</v>
      </c>
      <c r="O114" s="91"/>
      <c r="P114" s="90"/>
      <c r="Q114" s="90"/>
      <c r="R114" s="90"/>
      <c r="S114" s="130"/>
      <c r="T114" s="90"/>
      <c r="U114" s="128">
        <f t="shared" si="3"/>
        <v>21399.425398992513</v>
      </c>
      <c r="V114" s="92">
        <f t="shared" si="4"/>
        <v>41322290.445454545</v>
      </c>
      <c r="W114" s="92">
        <f t="shared" si="5"/>
        <v>4132229.0445454549</v>
      </c>
      <c r="X114" s="129">
        <v>45454519.490000002</v>
      </c>
      <c r="Y114" s="115"/>
    </row>
    <row r="115" spans="1:25" s="94" customFormat="1" ht="30" customHeight="1">
      <c r="A115" s="85">
        <v>105</v>
      </c>
      <c r="B115" s="155" t="s">
        <v>57</v>
      </c>
      <c r="C115" s="126" t="s">
        <v>43</v>
      </c>
      <c r="D115" s="127" t="s">
        <v>51</v>
      </c>
      <c r="E115" s="127" t="s">
        <v>48</v>
      </c>
      <c r="F115" s="124" t="s">
        <v>59</v>
      </c>
      <c r="G115" s="88">
        <v>46220</v>
      </c>
      <c r="H115" s="87" t="s">
        <v>1652</v>
      </c>
      <c r="I115" s="88" t="s">
        <v>1653</v>
      </c>
      <c r="J115" s="89" t="s">
        <v>1654</v>
      </c>
      <c r="K115" s="89" t="s">
        <v>1655</v>
      </c>
      <c r="L115" s="89" t="s">
        <v>1585</v>
      </c>
      <c r="M115" s="118"/>
      <c r="N115" s="90">
        <v>40000</v>
      </c>
      <c r="O115" s="91"/>
      <c r="P115" s="90"/>
      <c r="Q115" s="90"/>
      <c r="R115" s="90"/>
      <c r="S115" s="130"/>
      <c r="T115" s="130"/>
      <c r="U115" s="128">
        <f t="shared" si="3"/>
        <v>21474.363399999998</v>
      </c>
      <c r="V115" s="92">
        <f t="shared" si="4"/>
        <v>858974536</v>
      </c>
      <c r="W115" s="92">
        <f t="shared" si="5"/>
        <v>85897453.600000009</v>
      </c>
      <c r="X115" s="129">
        <v>944871989.60000002</v>
      </c>
      <c r="Y115" s="115"/>
    </row>
    <row r="116" spans="1:25" s="94" customFormat="1" ht="30" customHeight="1">
      <c r="A116" s="85">
        <v>106</v>
      </c>
      <c r="B116" s="155" t="s">
        <v>57</v>
      </c>
      <c r="C116" s="126" t="s">
        <v>43</v>
      </c>
      <c r="D116" s="127" t="s">
        <v>51</v>
      </c>
      <c r="E116" s="127" t="s">
        <v>48</v>
      </c>
      <c r="F116" s="124" t="s">
        <v>59</v>
      </c>
      <c r="G116" s="88">
        <v>46220</v>
      </c>
      <c r="H116" s="87" t="s">
        <v>1656</v>
      </c>
      <c r="I116" s="88" t="s">
        <v>1657</v>
      </c>
      <c r="J116" s="89" t="s">
        <v>1658</v>
      </c>
      <c r="K116" s="89" t="s">
        <v>167</v>
      </c>
      <c r="L116" s="89" t="s">
        <v>1585</v>
      </c>
      <c r="M116" s="118"/>
      <c r="N116" s="90">
        <v>40000</v>
      </c>
      <c r="O116" s="91"/>
      <c r="P116" s="90"/>
      <c r="Q116" s="90"/>
      <c r="R116" s="90"/>
      <c r="S116" s="130"/>
      <c r="T116" s="130"/>
      <c r="U116" s="128">
        <f t="shared" si="3"/>
        <v>21420.373800000001</v>
      </c>
      <c r="V116" s="92">
        <f t="shared" si="4"/>
        <v>856814952</v>
      </c>
      <c r="W116" s="92">
        <f t="shared" si="5"/>
        <v>85681495.200000003</v>
      </c>
      <c r="X116" s="129">
        <v>942496447.20000005</v>
      </c>
      <c r="Y116" s="115"/>
    </row>
    <row r="117" spans="1:25" s="94" customFormat="1" ht="30" customHeight="1">
      <c r="A117" s="85">
        <v>107</v>
      </c>
      <c r="B117" s="155" t="s">
        <v>57</v>
      </c>
      <c r="C117" s="126" t="s">
        <v>43</v>
      </c>
      <c r="D117" s="127" t="s">
        <v>51</v>
      </c>
      <c r="E117" s="127" t="s">
        <v>48</v>
      </c>
      <c r="F117" s="124" t="s">
        <v>59</v>
      </c>
      <c r="G117" s="88">
        <v>46220</v>
      </c>
      <c r="H117" s="87" t="s">
        <v>1659</v>
      </c>
      <c r="I117" s="88" t="s">
        <v>1660</v>
      </c>
      <c r="J117" s="89" t="s">
        <v>1661</v>
      </c>
      <c r="K117" s="89" t="s">
        <v>171</v>
      </c>
      <c r="L117" s="89" t="s">
        <v>1585</v>
      </c>
      <c r="M117" s="118"/>
      <c r="N117" s="90">
        <v>5000</v>
      </c>
      <c r="O117" s="91"/>
      <c r="P117" s="90"/>
      <c r="Q117" s="90"/>
      <c r="R117" s="90"/>
      <c r="S117" s="130"/>
      <c r="T117" s="130"/>
      <c r="U117" s="128">
        <f t="shared" si="3"/>
        <v>21420.373800000001</v>
      </c>
      <c r="V117" s="92">
        <f t="shared" si="4"/>
        <v>107101869</v>
      </c>
      <c r="W117" s="92">
        <f t="shared" si="5"/>
        <v>10710186.9</v>
      </c>
      <c r="X117" s="129">
        <v>117812055.90000001</v>
      </c>
      <c r="Y117" s="115"/>
    </row>
    <row r="118" spans="1:25" s="94" customFormat="1" ht="30" customHeight="1">
      <c r="A118" s="85">
        <v>108</v>
      </c>
      <c r="B118" s="155" t="s">
        <v>57</v>
      </c>
      <c r="C118" s="126" t="s">
        <v>43</v>
      </c>
      <c r="D118" s="127" t="s">
        <v>51</v>
      </c>
      <c r="E118" s="127" t="s">
        <v>48</v>
      </c>
      <c r="F118" s="124" t="s">
        <v>59</v>
      </c>
      <c r="G118" s="88">
        <v>46220</v>
      </c>
      <c r="H118" s="87" t="s">
        <v>1732</v>
      </c>
      <c r="I118" s="88" t="s">
        <v>1733</v>
      </c>
      <c r="J118" s="89" t="s">
        <v>1734</v>
      </c>
      <c r="K118" s="89" t="s">
        <v>1735</v>
      </c>
      <c r="L118" s="89" t="s">
        <v>1585</v>
      </c>
      <c r="M118" s="118"/>
      <c r="N118" s="90">
        <v>333</v>
      </c>
      <c r="O118" s="91"/>
      <c r="P118" s="90"/>
      <c r="Q118" s="90"/>
      <c r="R118" s="90"/>
      <c r="S118" s="130"/>
      <c r="T118" s="90"/>
      <c r="U118" s="128">
        <f t="shared" si="3"/>
        <v>21420.373819273816</v>
      </c>
      <c r="V118" s="92">
        <f t="shared" si="4"/>
        <v>7132984.4818181805</v>
      </c>
      <c r="W118" s="92">
        <f t="shared" si="5"/>
        <v>713298.44818181812</v>
      </c>
      <c r="X118" s="129">
        <v>7846282.9299999997</v>
      </c>
      <c r="Y118" s="115"/>
    </row>
    <row r="119" spans="1:25" s="94" customFormat="1" ht="30" customHeight="1">
      <c r="A119" s="85">
        <v>109</v>
      </c>
      <c r="B119" s="155" t="s">
        <v>57</v>
      </c>
      <c r="C119" s="126" t="s">
        <v>43</v>
      </c>
      <c r="D119" s="127" t="s">
        <v>51</v>
      </c>
      <c r="E119" s="127" t="s">
        <v>48</v>
      </c>
      <c r="F119" s="124" t="s">
        <v>59</v>
      </c>
      <c r="G119" s="88">
        <v>46220</v>
      </c>
      <c r="H119" s="87" t="s">
        <v>1736</v>
      </c>
      <c r="I119" s="88" t="s">
        <v>1737</v>
      </c>
      <c r="J119" s="89" t="s">
        <v>1738</v>
      </c>
      <c r="K119" s="89" t="s">
        <v>1739</v>
      </c>
      <c r="L119" s="89" t="s">
        <v>1585</v>
      </c>
      <c r="M119" s="118"/>
      <c r="N119" s="90">
        <v>1590</v>
      </c>
      <c r="O119" s="91"/>
      <c r="P119" s="90"/>
      <c r="Q119" s="90"/>
      <c r="R119" s="90"/>
      <c r="S119" s="130"/>
      <c r="T119" s="90"/>
      <c r="U119" s="128">
        <f t="shared" si="3"/>
        <v>21420.373796455118</v>
      </c>
      <c r="V119" s="92">
        <f t="shared" si="4"/>
        <v>34058394.336363636</v>
      </c>
      <c r="W119" s="92">
        <f t="shared" si="5"/>
        <v>3405839.4336363636</v>
      </c>
      <c r="X119" s="129">
        <v>37464233.770000003</v>
      </c>
      <c r="Y119" s="115"/>
    </row>
    <row r="120" spans="1:25" s="94" customFormat="1" ht="30" customHeight="1">
      <c r="A120" s="85">
        <v>110</v>
      </c>
      <c r="B120" s="155" t="s">
        <v>57</v>
      </c>
      <c r="C120" s="126" t="s">
        <v>43</v>
      </c>
      <c r="D120" s="127" t="s">
        <v>51</v>
      </c>
      <c r="E120" s="127" t="s">
        <v>48</v>
      </c>
      <c r="F120" s="124" t="s">
        <v>59</v>
      </c>
      <c r="G120" s="88">
        <v>46221</v>
      </c>
      <c r="H120" s="87" t="s">
        <v>1740</v>
      </c>
      <c r="I120" s="88" t="s">
        <v>1741</v>
      </c>
      <c r="J120" s="89" t="s">
        <v>1742</v>
      </c>
      <c r="K120" s="89" t="s">
        <v>1743</v>
      </c>
      <c r="L120" s="89" t="s">
        <v>1678</v>
      </c>
      <c r="M120" s="118"/>
      <c r="N120" s="90">
        <v>40000</v>
      </c>
      <c r="O120" s="91"/>
      <c r="P120" s="90"/>
      <c r="Q120" s="90"/>
      <c r="R120" s="90"/>
      <c r="S120" s="130"/>
      <c r="T120" s="90"/>
      <c r="U120" s="128">
        <f t="shared" si="3"/>
        <v>21474.363399999998</v>
      </c>
      <c r="V120" s="92">
        <f t="shared" si="4"/>
        <v>858974536</v>
      </c>
      <c r="W120" s="92">
        <f t="shared" si="5"/>
        <v>85897453.600000009</v>
      </c>
      <c r="X120" s="129">
        <v>944871989.60000002</v>
      </c>
      <c r="Y120" s="115"/>
    </row>
    <row r="121" spans="1:25" s="94" customFormat="1" ht="30" customHeight="1">
      <c r="A121" s="85">
        <v>111</v>
      </c>
      <c r="B121" s="155" t="s">
        <v>57</v>
      </c>
      <c r="C121" s="126" t="s">
        <v>43</v>
      </c>
      <c r="D121" s="127" t="s">
        <v>51</v>
      </c>
      <c r="E121" s="127" t="s">
        <v>48</v>
      </c>
      <c r="F121" s="124" t="s">
        <v>59</v>
      </c>
      <c r="G121" s="88">
        <v>46221</v>
      </c>
      <c r="H121" s="87" t="s">
        <v>1744</v>
      </c>
      <c r="I121" s="88" t="s">
        <v>1745</v>
      </c>
      <c r="J121" s="89" t="s">
        <v>1746</v>
      </c>
      <c r="K121" s="89" t="s">
        <v>1747</v>
      </c>
      <c r="L121" s="89" t="s">
        <v>1678</v>
      </c>
      <c r="M121" s="118"/>
      <c r="N121" s="90">
        <v>40000</v>
      </c>
      <c r="O121" s="91"/>
      <c r="P121" s="90"/>
      <c r="Q121" s="90"/>
      <c r="R121" s="90"/>
      <c r="S121" s="130"/>
      <c r="T121" s="130"/>
      <c r="U121" s="128">
        <f t="shared" si="3"/>
        <v>21420.373800000001</v>
      </c>
      <c r="V121" s="92">
        <f t="shared" si="4"/>
        <v>856814952</v>
      </c>
      <c r="W121" s="92">
        <f t="shared" si="5"/>
        <v>85681495.200000003</v>
      </c>
      <c r="X121" s="129">
        <v>942496447.20000005</v>
      </c>
      <c r="Y121" s="115"/>
    </row>
    <row r="122" spans="1:25" s="94" customFormat="1" ht="30" customHeight="1">
      <c r="A122" s="85">
        <v>112</v>
      </c>
      <c r="B122" s="86" t="s">
        <v>50</v>
      </c>
      <c r="C122" s="127" t="s">
        <v>43</v>
      </c>
      <c r="D122" s="127" t="s">
        <v>51</v>
      </c>
      <c r="E122" s="127" t="s">
        <v>48</v>
      </c>
      <c r="F122" s="117" t="s">
        <v>49</v>
      </c>
      <c r="G122" s="88">
        <v>46219</v>
      </c>
      <c r="H122" s="87" t="s">
        <v>1759</v>
      </c>
      <c r="I122" s="88" t="s">
        <v>1760</v>
      </c>
      <c r="J122" s="89" t="s">
        <v>1761</v>
      </c>
      <c r="K122" s="89" t="s">
        <v>353</v>
      </c>
      <c r="L122" s="89" t="s">
        <v>1492</v>
      </c>
      <c r="M122" s="118" t="s">
        <v>2702</v>
      </c>
      <c r="N122" s="90">
        <v>360</v>
      </c>
      <c r="O122" s="91">
        <v>46218</v>
      </c>
      <c r="P122" s="90" t="s">
        <v>1549</v>
      </c>
      <c r="Q122" s="90">
        <v>80</v>
      </c>
      <c r="R122" s="90">
        <v>28480</v>
      </c>
      <c r="S122" s="130">
        <v>400</v>
      </c>
      <c r="T122" s="90">
        <f>+R122-S122</f>
        <v>28080</v>
      </c>
      <c r="U122" s="128">
        <f>+V122/N122</f>
        <v>25527.272727272721</v>
      </c>
      <c r="V122" s="92">
        <f>+N122*T122*0.909090909090909</f>
        <v>9189818.1818181798</v>
      </c>
      <c r="W122" s="92">
        <f>+V122*10%</f>
        <v>918981.818181818</v>
      </c>
      <c r="X122" s="93">
        <f>SUM(V122:W122)</f>
        <v>10108799.999999998</v>
      </c>
      <c r="Y122" s="115"/>
    </row>
    <row r="123" spans="1:25" s="94" customFormat="1" ht="30" customHeight="1">
      <c r="A123" s="85">
        <v>113</v>
      </c>
      <c r="B123" s="215" t="s">
        <v>534</v>
      </c>
      <c r="C123" s="126" t="s">
        <v>43</v>
      </c>
      <c r="D123" s="127" t="s">
        <v>51</v>
      </c>
      <c r="E123" s="127" t="s">
        <v>48</v>
      </c>
      <c r="F123" s="124" t="s">
        <v>59</v>
      </c>
      <c r="G123" s="88">
        <v>46224</v>
      </c>
      <c r="H123" s="87" t="s">
        <v>1770</v>
      </c>
      <c r="I123" s="88" t="s">
        <v>1771</v>
      </c>
      <c r="J123" s="89" t="s">
        <v>1772</v>
      </c>
      <c r="K123" s="89" t="s">
        <v>284</v>
      </c>
      <c r="L123" s="89" t="s">
        <v>1695</v>
      </c>
      <c r="M123" s="118"/>
      <c r="N123" s="90">
        <v>20000</v>
      </c>
      <c r="O123" s="91"/>
      <c r="P123" s="90"/>
      <c r="Q123" s="90"/>
      <c r="R123" s="90"/>
      <c r="S123" s="130"/>
      <c r="T123" s="130"/>
      <c r="U123" s="128">
        <f t="shared" si="3"/>
        <v>24880.479599999999</v>
      </c>
      <c r="V123" s="92">
        <f t="shared" si="4"/>
        <v>497609592</v>
      </c>
      <c r="W123" s="92">
        <f t="shared" si="5"/>
        <v>49760959.200000003</v>
      </c>
      <c r="X123" s="129">
        <v>547370551.20000005</v>
      </c>
      <c r="Y123" s="115"/>
    </row>
    <row r="124" spans="1:25" s="94" customFormat="1" ht="30" customHeight="1">
      <c r="A124" s="85">
        <v>114</v>
      </c>
      <c r="B124" s="155" t="s">
        <v>57</v>
      </c>
      <c r="C124" s="126" t="s">
        <v>43</v>
      </c>
      <c r="D124" s="127" t="s">
        <v>51</v>
      </c>
      <c r="E124" s="127" t="s">
        <v>48</v>
      </c>
      <c r="F124" s="124" t="s">
        <v>59</v>
      </c>
      <c r="G124" s="88">
        <v>46221</v>
      </c>
      <c r="H124" s="87" t="s">
        <v>1773</v>
      </c>
      <c r="I124" s="88" t="s">
        <v>1774</v>
      </c>
      <c r="J124" s="89" t="s">
        <v>1775</v>
      </c>
      <c r="K124" s="89" t="s">
        <v>1776</v>
      </c>
      <c r="L124" s="89" t="s">
        <v>1678</v>
      </c>
      <c r="M124" s="118"/>
      <c r="N124" s="90">
        <v>5000</v>
      </c>
      <c r="O124" s="91"/>
      <c r="P124" s="90"/>
      <c r="Q124" s="90"/>
      <c r="R124" s="90"/>
      <c r="S124" s="130"/>
      <c r="T124" s="130"/>
      <c r="U124" s="128">
        <f t="shared" si="3"/>
        <v>21420.373800000001</v>
      </c>
      <c r="V124" s="92">
        <f t="shared" si="4"/>
        <v>107101869</v>
      </c>
      <c r="W124" s="92">
        <f t="shared" si="5"/>
        <v>10710186.9</v>
      </c>
      <c r="X124" s="129">
        <v>117812055.90000001</v>
      </c>
      <c r="Y124" s="115"/>
    </row>
    <row r="125" spans="1:25" s="94" customFormat="1" ht="30" customHeight="1">
      <c r="A125" s="85">
        <v>115</v>
      </c>
      <c r="B125" s="155" t="s">
        <v>57</v>
      </c>
      <c r="C125" s="126" t="s">
        <v>43</v>
      </c>
      <c r="D125" s="127" t="s">
        <v>51</v>
      </c>
      <c r="E125" s="127" t="s">
        <v>48</v>
      </c>
      <c r="F125" s="124" t="s">
        <v>59</v>
      </c>
      <c r="G125" s="88">
        <v>46221</v>
      </c>
      <c r="H125" s="87" t="s">
        <v>1777</v>
      </c>
      <c r="I125" s="88" t="s">
        <v>1768</v>
      </c>
      <c r="J125" s="89" t="s">
        <v>1778</v>
      </c>
      <c r="K125" s="89" t="s">
        <v>1779</v>
      </c>
      <c r="L125" s="89" t="s">
        <v>1678</v>
      </c>
      <c r="M125" s="118"/>
      <c r="N125" s="90">
        <v>88000</v>
      </c>
      <c r="O125" s="91"/>
      <c r="P125" s="90"/>
      <c r="Q125" s="90"/>
      <c r="R125" s="90"/>
      <c r="S125" s="130"/>
      <c r="T125" s="130"/>
      <c r="U125" s="128">
        <f t="shared" si="3"/>
        <v>21420.373799999998</v>
      </c>
      <c r="V125" s="92">
        <f t="shared" si="4"/>
        <v>1884992894.3999999</v>
      </c>
      <c r="W125" s="92">
        <f t="shared" si="5"/>
        <v>188499289.44</v>
      </c>
      <c r="X125" s="129">
        <v>2073492183.8399999</v>
      </c>
      <c r="Y125" s="115"/>
    </row>
    <row r="126" spans="1:25" s="94" customFormat="1" ht="30" customHeight="1">
      <c r="A126" s="85">
        <v>116</v>
      </c>
      <c r="B126" s="155" t="s">
        <v>57</v>
      </c>
      <c r="C126" s="126" t="s">
        <v>43</v>
      </c>
      <c r="D126" s="127" t="s">
        <v>51</v>
      </c>
      <c r="E126" s="127" t="s">
        <v>48</v>
      </c>
      <c r="F126" s="124" t="s">
        <v>59</v>
      </c>
      <c r="G126" s="88">
        <v>46221</v>
      </c>
      <c r="H126" s="87" t="s">
        <v>1780</v>
      </c>
      <c r="I126" s="88" t="s">
        <v>1781</v>
      </c>
      <c r="J126" s="89" t="s">
        <v>1782</v>
      </c>
      <c r="K126" s="89" t="s">
        <v>224</v>
      </c>
      <c r="L126" s="89" t="s">
        <v>1678</v>
      </c>
      <c r="M126" s="118"/>
      <c r="N126" s="90">
        <v>2865</v>
      </c>
      <c r="O126" s="91"/>
      <c r="P126" s="90"/>
      <c r="Q126" s="90"/>
      <c r="R126" s="90"/>
      <c r="S126" s="130"/>
      <c r="T126" s="130"/>
      <c r="U126" s="128">
        <f t="shared" si="3"/>
        <v>21420.373799777881</v>
      </c>
      <c r="V126" s="92">
        <f t="shared" si="4"/>
        <v>61369370.93636363</v>
      </c>
      <c r="W126" s="92">
        <f t="shared" si="5"/>
        <v>6136937.0936363637</v>
      </c>
      <c r="X126" s="129">
        <v>67506308.030000001</v>
      </c>
      <c r="Y126" s="115"/>
    </row>
    <row r="127" spans="1:25" s="94" customFormat="1" ht="30" customHeight="1">
      <c r="A127" s="85">
        <v>117</v>
      </c>
      <c r="B127" s="155" t="s">
        <v>57</v>
      </c>
      <c r="C127" s="126" t="s">
        <v>43</v>
      </c>
      <c r="D127" s="127" t="s">
        <v>51</v>
      </c>
      <c r="E127" s="127" t="s">
        <v>48</v>
      </c>
      <c r="F127" s="124" t="s">
        <v>59</v>
      </c>
      <c r="G127" s="88">
        <v>46221</v>
      </c>
      <c r="H127" s="87" t="s">
        <v>1806</v>
      </c>
      <c r="I127" s="88" t="s">
        <v>1807</v>
      </c>
      <c r="J127" s="89" t="s">
        <v>1808</v>
      </c>
      <c r="K127" s="89" t="s">
        <v>230</v>
      </c>
      <c r="L127" s="89" t="s">
        <v>1678</v>
      </c>
      <c r="M127" s="118"/>
      <c r="N127" s="90">
        <v>442</v>
      </c>
      <c r="O127" s="91"/>
      <c r="P127" s="90"/>
      <c r="Q127" s="90"/>
      <c r="R127" s="90"/>
      <c r="S127" s="130"/>
      <c r="T127" s="130"/>
      <c r="U127" s="128">
        <f t="shared" si="3"/>
        <v>21420.373796791442</v>
      </c>
      <c r="V127" s="92">
        <f t="shared" si="4"/>
        <v>9467805.2181818169</v>
      </c>
      <c r="W127" s="92">
        <f t="shared" si="5"/>
        <v>946780.52181818173</v>
      </c>
      <c r="X127" s="129">
        <v>10414585.74</v>
      </c>
      <c r="Y127" s="115"/>
    </row>
    <row r="128" spans="1:25" s="94" customFormat="1" ht="30" customHeight="1">
      <c r="A128" s="85">
        <v>118</v>
      </c>
      <c r="B128" s="155" t="s">
        <v>57</v>
      </c>
      <c r="C128" s="126" t="s">
        <v>43</v>
      </c>
      <c r="D128" s="127" t="s">
        <v>51</v>
      </c>
      <c r="E128" s="127" t="s">
        <v>48</v>
      </c>
      <c r="F128" s="124" t="s">
        <v>59</v>
      </c>
      <c r="G128" s="88">
        <v>46222</v>
      </c>
      <c r="H128" s="87" t="s">
        <v>1809</v>
      </c>
      <c r="I128" s="88" t="s">
        <v>1810</v>
      </c>
      <c r="J128" s="89" t="s">
        <v>1811</v>
      </c>
      <c r="K128" s="89" t="s">
        <v>233</v>
      </c>
      <c r="L128" s="89" t="s">
        <v>1812</v>
      </c>
      <c r="M128" s="118"/>
      <c r="N128" s="90">
        <v>148</v>
      </c>
      <c r="O128" s="91"/>
      <c r="P128" s="90"/>
      <c r="Q128" s="90"/>
      <c r="R128" s="90"/>
      <c r="S128" s="130"/>
      <c r="T128" s="130"/>
      <c r="U128" s="128">
        <f t="shared" si="3"/>
        <v>21420.373771498769</v>
      </c>
      <c r="V128" s="92">
        <f t="shared" si="4"/>
        <v>3170215.3181818179</v>
      </c>
      <c r="W128" s="92">
        <f t="shared" si="5"/>
        <v>317021.5318181818</v>
      </c>
      <c r="X128" s="129">
        <v>3487236.85</v>
      </c>
      <c r="Y128" s="115"/>
    </row>
    <row r="129" spans="1:25" s="94" customFormat="1" ht="30" customHeight="1">
      <c r="A129" s="85">
        <v>119</v>
      </c>
      <c r="B129" s="155" t="s">
        <v>57</v>
      </c>
      <c r="C129" s="126" t="s">
        <v>43</v>
      </c>
      <c r="D129" s="127" t="s">
        <v>51</v>
      </c>
      <c r="E129" s="127" t="s">
        <v>48</v>
      </c>
      <c r="F129" s="124" t="s">
        <v>59</v>
      </c>
      <c r="G129" s="88">
        <v>46223</v>
      </c>
      <c r="H129" s="87" t="s">
        <v>1839</v>
      </c>
      <c r="I129" s="88" t="s">
        <v>1840</v>
      </c>
      <c r="J129" s="89" t="s">
        <v>1841</v>
      </c>
      <c r="K129" s="89" t="s">
        <v>1842</v>
      </c>
      <c r="L129" s="89" t="s">
        <v>1687</v>
      </c>
      <c r="M129" s="118"/>
      <c r="N129" s="90">
        <v>50000</v>
      </c>
      <c r="O129" s="91"/>
      <c r="P129" s="90"/>
      <c r="Q129" s="90"/>
      <c r="R129" s="90"/>
      <c r="S129" s="130"/>
      <c r="T129" s="130"/>
      <c r="U129" s="128">
        <f t="shared" si="3"/>
        <v>24868.959500000001</v>
      </c>
      <c r="V129" s="92">
        <f t="shared" si="4"/>
        <v>1243447975</v>
      </c>
      <c r="W129" s="92">
        <f t="shared" si="5"/>
        <v>124344797.5</v>
      </c>
      <c r="X129" s="129">
        <v>1367792772.5</v>
      </c>
      <c r="Y129" s="115"/>
    </row>
    <row r="130" spans="1:25" s="94" customFormat="1" ht="30" customHeight="1">
      <c r="A130" s="85">
        <v>120</v>
      </c>
      <c r="B130" s="155" t="s">
        <v>57</v>
      </c>
      <c r="C130" s="126" t="s">
        <v>43</v>
      </c>
      <c r="D130" s="127" t="s">
        <v>51</v>
      </c>
      <c r="E130" s="127" t="s">
        <v>48</v>
      </c>
      <c r="F130" s="124" t="s">
        <v>59</v>
      </c>
      <c r="G130" s="88">
        <v>46223</v>
      </c>
      <c r="H130" s="87" t="s">
        <v>1843</v>
      </c>
      <c r="I130" s="88" t="s">
        <v>1844</v>
      </c>
      <c r="J130" s="89" t="s">
        <v>1845</v>
      </c>
      <c r="K130" s="89" t="s">
        <v>1846</v>
      </c>
      <c r="L130" s="89" t="s">
        <v>1687</v>
      </c>
      <c r="M130" s="118"/>
      <c r="N130" s="90">
        <v>10000</v>
      </c>
      <c r="O130" s="91"/>
      <c r="P130" s="90"/>
      <c r="Q130" s="90"/>
      <c r="R130" s="90"/>
      <c r="S130" s="130"/>
      <c r="T130" s="130"/>
      <c r="U130" s="128">
        <f t="shared" si="3"/>
        <v>24868.959499999997</v>
      </c>
      <c r="V130" s="92">
        <f t="shared" si="4"/>
        <v>248689594.99999997</v>
      </c>
      <c r="W130" s="92">
        <f t="shared" si="5"/>
        <v>24868959.5</v>
      </c>
      <c r="X130" s="129">
        <v>273558554.5</v>
      </c>
      <c r="Y130" s="115"/>
    </row>
    <row r="131" spans="1:25" s="94" customFormat="1" ht="30" customHeight="1">
      <c r="A131" s="85">
        <v>121</v>
      </c>
      <c r="B131" s="155" t="s">
        <v>57</v>
      </c>
      <c r="C131" s="126" t="s">
        <v>43</v>
      </c>
      <c r="D131" s="127" t="s">
        <v>51</v>
      </c>
      <c r="E131" s="127" t="s">
        <v>48</v>
      </c>
      <c r="F131" s="124" t="s">
        <v>59</v>
      </c>
      <c r="G131" s="88">
        <v>46223</v>
      </c>
      <c r="H131" s="87" t="s">
        <v>1847</v>
      </c>
      <c r="I131" s="88" t="s">
        <v>1831</v>
      </c>
      <c r="J131" s="89" t="s">
        <v>1848</v>
      </c>
      <c r="K131" s="89" t="s">
        <v>289</v>
      </c>
      <c r="L131" s="89" t="s">
        <v>1687</v>
      </c>
      <c r="M131" s="118"/>
      <c r="N131" s="90">
        <v>40000</v>
      </c>
      <c r="O131" s="91"/>
      <c r="P131" s="90"/>
      <c r="Q131" s="90"/>
      <c r="R131" s="90"/>
      <c r="S131" s="130"/>
      <c r="T131" s="130"/>
      <c r="U131" s="128">
        <f t="shared" si="3"/>
        <v>24922.949100000002</v>
      </c>
      <c r="V131" s="92">
        <f t="shared" si="4"/>
        <v>996917964</v>
      </c>
      <c r="W131" s="92">
        <f t="shared" si="5"/>
        <v>99691796.400000006</v>
      </c>
      <c r="X131" s="129">
        <v>1096609760.4000001</v>
      </c>
      <c r="Y131" s="115"/>
    </row>
    <row r="132" spans="1:25" s="94" customFormat="1" ht="30" customHeight="1">
      <c r="A132" s="85">
        <v>122</v>
      </c>
      <c r="B132" s="155" t="s">
        <v>57</v>
      </c>
      <c r="C132" s="126" t="s">
        <v>43</v>
      </c>
      <c r="D132" s="127" t="s">
        <v>51</v>
      </c>
      <c r="E132" s="127" t="s">
        <v>48</v>
      </c>
      <c r="F132" s="124" t="s">
        <v>59</v>
      </c>
      <c r="G132" s="88">
        <v>46223</v>
      </c>
      <c r="H132" s="87" t="s">
        <v>1849</v>
      </c>
      <c r="I132" s="88" t="s">
        <v>1832</v>
      </c>
      <c r="J132" s="89" t="s">
        <v>1850</v>
      </c>
      <c r="K132" s="89" t="s">
        <v>1851</v>
      </c>
      <c r="L132" s="89" t="s">
        <v>1687</v>
      </c>
      <c r="M132" s="118"/>
      <c r="N132" s="90">
        <v>200</v>
      </c>
      <c r="O132" s="91"/>
      <c r="P132" s="90"/>
      <c r="Q132" s="90"/>
      <c r="R132" s="90"/>
      <c r="S132" s="130"/>
      <c r="T132" s="130"/>
      <c r="U132" s="128">
        <f t="shared" si="3"/>
        <v>24868.959499999997</v>
      </c>
      <c r="V132" s="92">
        <f t="shared" si="4"/>
        <v>4973791.8999999994</v>
      </c>
      <c r="W132" s="92">
        <f t="shared" si="5"/>
        <v>497379.18999999994</v>
      </c>
      <c r="X132" s="129">
        <v>5471171.0899999999</v>
      </c>
      <c r="Y132" s="115"/>
    </row>
    <row r="133" spans="1:25" s="94" customFormat="1" ht="30" customHeight="1">
      <c r="A133" s="85">
        <v>123</v>
      </c>
      <c r="B133" s="155" t="s">
        <v>57</v>
      </c>
      <c r="C133" s="126" t="s">
        <v>43</v>
      </c>
      <c r="D133" s="127" t="s">
        <v>51</v>
      </c>
      <c r="E133" s="127" t="s">
        <v>48</v>
      </c>
      <c r="F133" s="124" t="s">
        <v>59</v>
      </c>
      <c r="G133" s="88">
        <v>46223</v>
      </c>
      <c r="H133" s="87" t="s">
        <v>1852</v>
      </c>
      <c r="I133" s="88" t="s">
        <v>1853</v>
      </c>
      <c r="J133" s="89" t="s">
        <v>1854</v>
      </c>
      <c r="K133" s="89" t="s">
        <v>308</v>
      </c>
      <c r="L133" s="89" t="s">
        <v>1687</v>
      </c>
      <c r="M133" s="118"/>
      <c r="N133" s="90">
        <v>475</v>
      </c>
      <c r="O133" s="91"/>
      <c r="P133" s="90"/>
      <c r="Q133" s="90"/>
      <c r="R133" s="90"/>
      <c r="S133" s="130"/>
      <c r="T133" s="130"/>
      <c r="U133" s="128">
        <f t="shared" si="3"/>
        <v>24868.959502392339</v>
      </c>
      <c r="V133" s="92">
        <f t="shared" si="4"/>
        <v>11812755.763636362</v>
      </c>
      <c r="W133" s="92">
        <f t="shared" si="5"/>
        <v>1181275.5763636362</v>
      </c>
      <c r="X133" s="129">
        <v>12994031.34</v>
      </c>
      <c r="Y133" s="115"/>
    </row>
    <row r="134" spans="1:25" s="94" customFormat="1" ht="30" customHeight="1">
      <c r="A134" s="85">
        <v>124</v>
      </c>
      <c r="B134" s="215" t="s">
        <v>534</v>
      </c>
      <c r="C134" s="126" t="s">
        <v>43</v>
      </c>
      <c r="D134" s="127" t="s">
        <v>51</v>
      </c>
      <c r="E134" s="127" t="s">
        <v>48</v>
      </c>
      <c r="F134" s="124" t="s">
        <v>59</v>
      </c>
      <c r="G134" s="88">
        <v>46225</v>
      </c>
      <c r="H134" s="87" t="s">
        <v>1862</v>
      </c>
      <c r="I134" s="88" t="s">
        <v>1863</v>
      </c>
      <c r="J134" s="89" t="s">
        <v>1864</v>
      </c>
      <c r="K134" s="89" t="s">
        <v>1865</v>
      </c>
      <c r="L134" s="89" t="s">
        <v>1866</v>
      </c>
      <c r="M134" s="118"/>
      <c r="N134" s="90">
        <v>20000</v>
      </c>
      <c r="O134" s="91"/>
      <c r="P134" s="90"/>
      <c r="Q134" s="90"/>
      <c r="R134" s="90"/>
      <c r="S134" s="130"/>
      <c r="T134" s="130"/>
      <c r="U134" s="128">
        <f t="shared" si="3"/>
        <v>24847.611899999996</v>
      </c>
      <c r="V134" s="92">
        <f t="shared" si="4"/>
        <v>496952237.99999994</v>
      </c>
      <c r="W134" s="92">
        <f t="shared" si="5"/>
        <v>49695223.799999997</v>
      </c>
      <c r="X134" s="129">
        <v>546647461.79999995</v>
      </c>
      <c r="Y134" s="115"/>
    </row>
    <row r="135" spans="1:25" s="94" customFormat="1" ht="30" customHeight="1">
      <c r="A135" s="85">
        <v>125</v>
      </c>
      <c r="B135" s="155" t="s">
        <v>57</v>
      </c>
      <c r="C135" s="126" t="s">
        <v>43</v>
      </c>
      <c r="D135" s="127" t="s">
        <v>51</v>
      </c>
      <c r="E135" s="127" t="s">
        <v>48</v>
      </c>
      <c r="F135" s="124" t="s">
        <v>59</v>
      </c>
      <c r="G135" s="88">
        <v>46224</v>
      </c>
      <c r="H135" s="87" t="s">
        <v>1888</v>
      </c>
      <c r="I135" s="88" t="s">
        <v>1889</v>
      </c>
      <c r="J135" s="89" t="s">
        <v>1890</v>
      </c>
      <c r="K135" s="89" t="s">
        <v>1891</v>
      </c>
      <c r="L135" s="89" t="s">
        <v>1695</v>
      </c>
      <c r="M135" s="118"/>
      <c r="N135" s="90">
        <v>330</v>
      </c>
      <c r="O135" s="91"/>
      <c r="P135" s="90"/>
      <c r="Q135" s="90"/>
      <c r="R135" s="90"/>
      <c r="S135" s="130"/>
      <c r="T135" s="130"/>
      <c r="U135" s="128">
        <f t="shared" si="3"/>
        <v>24826.58201101928</v>
      </c>
      <c r="V135" s="92">
        <f t="shared" si="4"/>
        <v>8192772.0636363626</v>
      </c>
      <c r="W135" s="92">
        <f t="shared" si="5"/>
        <v>819277.2063636363</v>
      </c>
      <c r="X135" s="129">
        <v>9012049.2699999996</v>
      </c>
      <c r="Y135" s="115"/>
    </row>
    <row r="136" spans="1:25" s="94" customFormat="1" ht="30" customHeight="1">
      <c r="A136" s="85">
        <v>126</v>
      </c>
      <c r="B136" s="155" t="s">
        <v>57</v>
      </c>
      <c r="C136" s="126" t="s">
        <v>43</v>
      </c>
      <c r="D136" s="127" t="s">
        <v>51</v>
      </c>
      <c r="E136" s="127" t="s">
        <v>48</v>
      </c>
      <c r="F136" s="124" t="s">
        <v>59</v>
      </c>
      <c r="G136" s="88">
        <v>46224</v>
      </c>
      <c r="H136" s="87" t="s">
        <v>1892</v>
      </c>
      <c r="I136" s="88" t="s">
        <v>1895</v>
      </c>
      <c r="J136" s="89" t="s">
        <v>1893</v>
      </c>
      <c r="K136" s="89" t="s">
        <v>1894</v>
      </c>
      <c r="L136" s="89" t="s">
        <v>1695</v>
      </c>
      <c r="M136" s="118"/>
      <c r="N136" s="90">
        <v>2198</v>
      </c>
      <c r="O136" s="91"/>
      <c r="P136" s="90"/>
      <c r="Q136" s="90"/>
      <c r="R136" s="90"/>
      <c r="S136" s="130"/>
      <c r="T136" s="130"/>
      <c r="U136" s="128">
        <f t="shared" si="3"/>
        <v>24826.582000165439</v>
      </c>
      <c r="V136" s="92">
        <f t="shared" si="4"/>
        <v>54568827.236363634</v>
      </c>
      <c r="W136" s="92">
        <f t="shared" si="5"/>
        <v>5456882.7236363636</v>
      </c>
      <c r="X136" s="129">
        <v>60025709.960000001</v>
      </c>
      <c r="Y136" s="115"/>
    </row>
    <row r="137" spans="1:25" s="94" customFormat="1" ht="30" customHeight="1">
      <c r="A137" s="85">
        <v>127</v>
      </c>
      <c r="B137" s="155" t="s">
        <v>57</v>
      </c>
      <c r="C137" s="126" t="s">
        <v>43</v>
      </c>
      <c r="D137" s="127" t="s">
        <v>51</v>
      </c>
      <c r="E137" s="127" t="s">
        <v>48</v>
      </c>
      <c r="F137" s="124" t="s">
        <v>59</v>
      </c>
      <c r="G137" s="88">
        <v>46225</v>
      </c>
      <c r="H137" s="87" t="s">
        <v>1953</v>
      </c>
      <c r="I137" s="88" t="s">
        <v>1954</v>
      </c>
      <c r="J137" s="89" t="s">
        <v>1955</v>
      </c>
      <c r="K137" s="89" t="s">
        <v>480</v>
      </c>
      <c r="L137" s="89" t="s">
        <v>1866</v>
      </c>
      <c r="M137" s="118"/>
      <c r="N137" s="90">
        <v>60000</v>
      </c>
      <c r="O137" s="91"/>
      <c r="P137" s="90"/>
      <c r="Q137" s="90"/>
      <c r="R137" s="90"/>
      <c r="S137" s="130"/>
      <c r="T137" s="130"/>
      <c r="U137" s="128">
        <f t="shared" si="3"/>
        <v>24847.6119</v>
      </c>
      <c r="V137" s="92">
        <f t="shared" si="4"/>
        <v>1490856714</v>
      </c>
      <c r="W137" s="92">
        <f t="shared" si="5"/>
        <v>149085671.40000001</v>
      </c>
      <c r="X137" s="129">
        <v>1639942385.4000001</v>
      </c>
      <c r="Y137" s="115"/>
    </row>
    <row r="138" spans="1:25" s="94" customFormat="1" ht="30" customHeight="1">
      <c r="A138" s="85">
        <v>128</v>
      </c>
      <c r="B138" s="86" t="s">
        <v>1058</v>
      </c>
      <c r="C138" s="126" t="s">
        <v>43</v>
      </c>
      <c r="D138" s="127" t="s">
        <v>51</v>
      </c>
      <c r="E138" s="127" t="s">
        <v>48</v>
      </c>
      <c r="F138" s="124" t="s">
        <v>1059</v>
      </c>
      <c r="G138" s="88">
        <v>46226</v>
      </c>
      <c r="H138" s="87" t="s">
        <v>2007</v>
      </c>
      <c r="I138" s="88" t="s">
        <v>2008</v>
      </c>
      <c r="J138" s="89" t="s">
        <v>2041</v>
      </c>
      <c r="K138" s="89" t="s">
        <v>535</v>
      </c>
      <c r="L138" s="89" t="s">
        <v>1985</v>
      </c>
      <c r="M138" s="118"/>
      <c r="N138" s="90">
        <v>40000</v>
      </c>
      <c r="O138" s="91">
        <v>46225</v>
      </c>
      <c r="P138" s="90" t="s">
        <v>2010</v>
      </c>
      <c r="Q138" s="90">
        <v>80</v>
      </c>
      <c r="R138" s="90">
        <v>31410</v>
      </c>
      <c r="S138" s="130">
        <v>600</v>
      </c>
      <c r="T138" s="90">
        <f>+R138-S138</f>
        <v>30810</v>
      </c>
      <c r="U138" s="128">
        <f>+V138/N138</f>
        <v>28009.090909090908</v>
      </c>
      <c r="V138" s="92">
        <f>+N138*T138*0.909090909090909</f>
        <v>1120363636.3636363</v>
      </c>
      <c r="W138" s="92">
        <f>+V138*10%</f>
        <v>112036363.63636363</v>
      </c>
      <c r="X138" s="93">
        <f>SUM(V138:W138)</f>
        <v>1232400000</v>
      </c>
      <c r="Y138" s="115"/>
    </row>
    <row r="139" spans="1:25" s="94" customFormat="1" ht="30" customHeight="1">
      <c r="A139" s="85">
        <v>129</v>
      </c>
      <c r="B139" s="155" t="s">
        <v>57</v>
      </c>
      <c r="C139" s="126" t="s">
        <v>43</v>
      </c>
      <c r="D139" s="127" t="s">
        <v>51</v>
      </c>
      <c r="E139" s="127" t="s">
        <v>48</v>
      </c>
      <c r="F139" s="124" t="s">
        <v>59</v>
      </c>
      <c r="G139" s="88">
        <v>46225</v>
      </c>
      <c r="H139" s="87" t="s">
        <v>2039</v>
      </c>
      <c r="I139" s="88" t="s">
        <v>2040</v>
      </c>
      <c r="J139" s="89" t="s">
        <v>2042</v>
      </c>
      <c r="K139" s="89" t="s">
        <v>581</v>
      </c>
      <c r="L139" s="89" t="s">
        <v>1866</v>
      </c>
      <c r="M139" s="118"/>
      <c r="N139" s="90">
        <v>1437</v>
      </c>
      <c r="O139" s="91"/>
      <c r="P139" s="90"/>
      <c r="Q139" s="90"/>
      <c r="R139" s="90"/>
      <c r="S139" s="130"/>
      <c r="T139" s="130"/>
      <c r="U139" s="128">
        <f t="shared" si="3"/>
        <v>24793.785500094895</v>
      </c>
      <c r="V139" s="92">
        <f t="shared" si="4"/>
        <v>35628669.763636366</v>
      </c>
      <c r="W139" s="92">
        <f t="shared" si="5"/>
        <v>3562866.9763636366</v>
      </c>
      <c r="X139" s="129">
        <v>39191536.740000002</v>
      </c>
      <c r="Y139" s="115"/>
    </row>
    <row r="140" spans="1:25" s="94" customFormat="1" ht="30" customHeight="1">
      <c r="A140" s="85">
        <v>130</v>
      </c>
      <c r="B140" s="86" t="s">
        <v>50</v>
      </c>
      <c r="C140" s="127" t="s">
        <v>43</v>
      </c>
      <c r="D140" s="127" t="s">
        <v>51</v>
      </c>
      <c r="E140" s="127" t="s">
        <v>48</v>
      </c>
      <c r="F140" s="117" t="s">
        <v>49</v>
      </c>
      <c r="G140" s="88">
        <v>46226</v>
      </c>
      <c r="H140" s="87" t="s">
        <v>711</v>
      </c>
      <c r="I140" s="88" t="s">
        <v>2107</v>
      </c>
      <c r="J140" s="89" t="s">
        <v>2108</v>
      </c>
      <c r="K140" s="89" t="s">
        <v>2109</v>
      </c>
      <c r="L140" s="89" t="s">
        <v>1985</v>
      </c>
      <c r="M140" s="118" t="s">
        <v>2701</v>
      </c>
      <c r="N140" s="90">
        <v>197</v>
      </c>
      <c r="O140" s="91">
        <v>46218</v>
      </c>
      <c r="P140" s="90" t="s">
        <v>2010</v>
      </c>
      <c r="Q140" s="90">
        <v>80</v>
      </c>
      <c r="R140" s="90">
        <v>28480</v>
      </c>
      <c r="S140" s="130">
        <v>400</v>
      </c>
      <c r="T140" s="90">
        <v>28080</v>
      </c>
      <c r="U140" s="128">
        <v>25527.27</v>
      </c>
      <c r="V140" s="92">
        <v>5028872.7300000004</v>
      </c>
      <c r="W140" s="92">
        <f t="shared" ref="W140:W176" si="6">V140*10%</f>
        <v>502887.27300000004</v>
      </c>
      <c r="X140" s="129">
        <v>5531760</v>
      </c>
      <c r="Y140" s="115"/>
    </row>
    <row r="141" spans="1:25" s="94" customFormat="1" ht="30" customHeight="1">
      <c r="A141" s="85">
        <v>131</v>
      </c>
      <c r="B141" s="200" t="s">
        <v>536</v>
      </c>
      <c r="C141" s="126" t="s">
        <v>43</v>
      </c>
      <c r="D141" s="127" t="s">
        <v>51</v>
      </c>
      <c r="E141" s="127" t="s">
        <v>48</v>
      </c>
      <c r="F141" s="124" t="s">
        <v>537</v>
      </c>
      <c r="G141" s="88">
        <v>46227</v>
      </c>
      <c r="H141" s="87" t="s">
        <v>2132</v>
      </c>
      <c r="I141" s="88" t="s">
        <v>2133</v>
      </c>
      <c r="J141" s="89" t="s">
        <v>2134</v>
      </c>
      <c r="K141" s="89" t="s">
        <v>2135</v>
      </c>
      <c r="L141" s="89" t="s">
        <v>2112</v>
      </c>
      <c r="M141" s="118"/>
      <c r="N141" s="90">
        <v>10000</v>
      </c>
      <c r="O141" s="91"/>
      <c r="P141" s="90"/>
      <c r="Q141" s="90"/>
      <c r="R141" s="90"/>
      <c r="S141" s="130"/>
      <c r="T141" s="130"/>
      <c r="U141" s="128">
        <v>25000.91</v>
      </c>
      <c r="V141" s="92">
        <v>250009137</v>
      </c>
      <c r="W141" s="92">
        <f t="shared" si="6"/>
        <v>25000913.700000003</v>
      </c>
      <c r="X141" s="129">
        <v>275010050.69999999</v>
      </c>
      <c r="Y141" s="115" t="s">
        <v>2136</v>
      </c>
    </row>
    <row r="142" spans="1:25" s="94" customFormat="1" ht="30" customHeight="1">
      <c r="A142" s="85">
        <v>132</v>
      </c>
      <c r="B142" s="155" t="s">
        <v>57</v>
      </c>
      <c r="C142" s="126" t="s">
        <v>43</v>
      </c>
      <c r="D142" s="127" t="s">
        <v>51</v>
      </c>
      <c r="E142" s="127" t="s">
        <v>48</v>
      </c>
      <c r="F142" s="124" t="s">
        <v>59</v>
      </c>
      <c r="G142" s="88">
        <v>46226</v>
      </c>
      <c r="H142" s="87" t="s">
        <v>2145</v>
      </c>
      <c r="I142" s="88" t="s">
        <v>2146</v>
      </c>
      <c r="J142" s="89" t="s">
        <v>2147</v>
      </c>
      <c r="K142" s="89" t="s">
        <v>2148</v>
      </c>
      <c r="L142" s="89" t="s">
        <v>1985</v>
      </c>
      <c r="M142" s="118"/>
      <c r="N142" s="90">
        <v>50000</v>
      </c>
      <c r="O142" s="91"/>
      <c r="P142" s="90"/>
      <c r="Q142" s="90"/>
      <c r="R142" s="90"/>
      <c r="S142" s="130"/>
      <c r="T142" s="130"/>
      <c r="U142" s="128">
        <v>25004.63</v>
      </c>
      <c r="V142" s="92">
        <v>1250231535</v>
      </c>
      <c r="W142" s="92">
        <f t="shared" si="6"/>
        <v>125023153.5</v>
      </c>
      <c r="X142" s="129">
        <v>1375254688.5</v>
      </c>
      <c r="Y142" s="115"/>
    </row>
    <row r="143" spans="1:25" s="94" customFormat="1" ht="30" customHeight="1">
      <c r="A143" s="85">
        <v>133</v>
      </c>
      <c r="B143" s="155" t="s">
        <v>57</v>
      </c>
      <c r="C143" s="126" t="s">
        <v>43</v>
      </c>
      <c r="D143" s="127" t="s">
        <v>51</v>
      </c>
      <c r="E143" s="127" t="s">
        <v>48</v>
      </c>
      <c r="F143" s="124" t="s">
        <v>59</v>
      </c>
      <c r="G143" s="88">
        <v>46226</v>
      </c>
      <c r="H143" s="87" t="s">
        <v>2149</v>
      </c>
      <c r="I143" s="88" t="s">
        <v>2150</v>
      </c>
      <c r="J143" s="89" t="s">
        <v>2151</v>
      </c>
      <c r="K143" s="89" t="s">
        <v>669</v>
      </c>
      <c r="L143" s="89" t="s">
        <v>1985</v>
      </c>
      <c r="M143" s="118"/>
      <c r="N143" s="90">
        <v>40000</v>
      </c>
      <c r="O143" s="91"/>
      <c r="P143" s="90"/>
      <c r="Q143" s="90"/>
      <c r="R143" s="90"/>
      <c r="S143" s="130"/>
      <c r="T143" s="130"/>
      <c r="U143" s="128">
        <v>25058.45</v>
      </c>
      <c r="V143" s="92">
        <v>1002337900</v>
      </c>
      <c r="W143" s="92">
        <f t="shared" si="6"/>
        <v>100233790</v>
      </c>
      <c r="X143" s="129">
        <v>1102571690</v>
      </c>
      <c r="Y143" s="115"/>
    </row>
    <row r="144" spans="1:25" s="94" customFormat="1" ht="30" customHeight="1">
      <c r="A144" s="85">
        <v>134</v>
      </c>
      <c r="B144" s="155" t="s">
        <v>57</v>
      </c>
      <c r="C144" s="126" t="s">
        <v>43</v>
      </c>
      <c r="D144" s="127" t="s">
        <v>51</v>
      </c>
      <c r="E144" s="127" t="s">
        <v>48</v>
      </c>
      <c r="F144" s="124" t="s">
        <v>59</v>
      </c>
      <c r="G144" s="88">
        <v>46226</v>
      </c>
      <c r="H144" s="87" t="s">
        <v>2152</v>
      </c>
      <c r="I144" s="88" t="s">
        <v>2153</v>
      </c>
      <c r="J144" s="89" t="s">
        <v>2154</v>
      </c>
      <c r="K144" s="89" t="s">
        <v>2155</v>
      </c>
      <c r="L144" s="89" t="s">
        <v>1985</v>
      </c>
      <c r="M144" s="118"/>
      <c r="N144" s="90">
        <v>275</v>
      </c>
      <c r="O144" s="91"/>
      <c r="P144" s="90"/>
      <c r="Q144" s="90"/>
      <c r="R144" s="90"/>
      <c r="S144" s="130"/>
      <c r="T144" s="130"/>
      <c r="U144" s="128">
        <v>25004.63</v>
      </c>
      <c r="V144" s="92">
        <v>6876273.4400000004</v>
      </c>
      <c r="W144" s="92">
        <f t="shared" si="6"/>
        <v>687627.34400000004</v>
      </c>
      <c r="X144" s="129">
        <v>7563900.7800000003</v>
      </c>
      <c r="Y144" s="115"/>
    </row>
    <row r="145" spans="1:25" s="94" customFormat="1" ht="30" customHeight="1">
      <c r="A145" s="85">
        <v>135</v>
      </c>
      <c r="B145" s="155" t="s">
        <v>57</v>
      </c>
      <c r="C145" s="126" t="s">
        <v>43</v>
      </c>
      <c r="D145" s="127" t="s">
        <v>51</v>
      </c>
      <c r="E145" s="127" t="s">
        <v>48</v>
      </c>
      <c r="F145" s="124" t="s">
        <v>59</v>
      </c>
      <c r="G145" s="88">
        <v>46226</v>
      </c>
      <c r="H145" s="87" t="s">
        <v>2156</v>
      </c>
      <c r="I145" s="88" t="s">
        <v>2157</v>
      </c>
      <c r="J145" s="89" t="s">
        <v>2158</v>
      </c>
      <c r="K145" s="89" t="s">
        <v>693</v>
      </c>
      <c r="L145" s="89" t="s">
        <v>1985</v>
      </c>
      <c r="M145" s="118"/>
      <c r="N145" s="90">
        <v>1151</v>
      </c>
      <c r="O145" s="91"/>
      <c r="P145" s="90"/>
      <c r="Q145" s="90"/>
      <c r="R145" s="90"/>
      <c r="S145" s="130"/>
      <c r="T145" s="130"/>
      <c r="U145" s="128">
        <v>25004.63</v>
      </c>
      <c r="V145" s="92">
        <v>28780329.940000001</v>
      </c>
      <c r="W145" s="92">
        <f t="shared" si="6"/>
        <v>2878032.9940000004</v>
      </c>
      <c r="X145" s="129">
        <v>31658362.93</v>
      </c>
      <c r="Y145" s="115"/>
    </row>
    <row r="146" spans="1:25" s="94" customFormat="1" ht="30" customHeight="1">
      <c r="A146" s="85">
        <v>136</v>
      </c>
      <c r="B146" s="155" t="s">
        <v>57</v>
      </c>
      <c r="C146" s="126" t="s">
        <v>43</v>
      </c>
      <c r="D146" s="127" t="s">
        <v>51</v>
      </c>
      <c r="E146" s="127" t="s">
        <v>48</v>
      </c>
      <c r="F146" s="124" t="s">
        <v>59</v>
      </c>
      <c r="G146" s="88">
        <v>46227</v>
      </c>
      <c r="H146" s="87" t="s">
        <v>2163</v>
      </c>
      <c r="I146" s="88" t="s">
        <v>2164</v>
      </c>
      <c r="J146" s="89" t="s">
        <v>2165</v>
      </c>
      <c r="K146" s="89" t="s">
        <v>722</v>
      </c>
      <c r="L146" s="89" t="s">
        <v>2112</v>
      </c>
      <c r="M146" s="118"/>
      <c r="N146" s="90">
        <v>40000</v>
      </c>
      <c r="O146" s="91"/>
      <c r="P146" s="90"/>
      <c r="Q146" s="90"/>
      <c r="R146" s="90"/>
      <c r="S146" s="130"/>
      <c r="T146" s="130"/>
      <c r="U146" s="128">
        <v>25054.720000000001</v>
      </c>
      <c r="V146" s="92">
        <v>1002188900</v>
      </c>
      <c r="W146" s="92">
        <f t="shared" si="6"/>
        <v>100218890</v>
      </c>
      <c r="X146" s="129">
        <v>1102407790</v>
      </c>
      <c r="Y146" s="115"/>
    </row>
    <row r="147" spans="1:25" s="94" customFormat="1" ht="30" customHeight="1">
      <c r="A147" s="85">
        <v>137</v>
      </c>
      <c r="B147" s="155" t="s">
        <v>57</v>
      </c>
      <c r="C147" s="126" t="s">
        <v>43</v>
      </c>
      <c r="D147" s="127" t="s">
        <v>51</v>
      </c>
      <c r="E147" s="127" t="s">
        <v>48</v>
      </c>
      <c r="F147" s="124" t="s">
        <v>59</v>
      </c>
      <c r="G147" s="88">
        <v>46227</v>
      </c>
      <c r="H147" s="87" t="s">
        <v>2202</v>
      </c>
      <c r="I147" s="88" t="s">
        <v>2203</v>
      </c>
      <c r="J147" s="89" t="s">
        <v>2204</v>
      </c>
      <c r="K147" s="89" t="s">
        <v>739</v>
      </c>
      <c r="L147" s="89" t="s">
        <v>2112</v>
      </c>
      <c r="M147" s="118"/>
      <c r="N147" s="90">
        <v>329</v>
      </c>
      <c r="O147" s="132"/>
      <c r="P147" s="90"/>
      <c r="Q147" s="133"/>
      <c r="R147" s="90"/>
      <c r="S147" s="90"/>
      <c r="T147" s="90"/>
      <c r="U147" s="128">
        <v>25000.91</v>
      </c>
      <c r="V147" s="92">
        <v>8225300.6100000003</v>
      </c>
      <c r="W147" s="92">
        <f t="shared" si="6"/>
        <v>822530.0610000001</v>
      </c>
      <c r="X147" s="129">
        <v>9047830.6699999999</v>
      </c>
      <c r="Y147" s="115"/>
    </row>
    <row r="148" spans="1:25" s="94" customFormat="1" ht="30" customHeight="1">
      <c r="A148" s="85">
        <v>138</v>
      </c>
      <c r="B148" s="155" t="s">
        <v>57</v>
      </c>
      <c r="C148" s="126" t="s">
        <v>43</v>
      </c>
      <c r="D148" s="127" t="s">
        <v>51</v>
      </c>
      <c r="E148" s="127" t="s">
        <v>48</v>
      </c>
      <c r="F148" s="124" t="s">
        <v>59</v>
      </c>
      <c r="G148" s="88">
        <v>46227</v>
      </c>
      <c r="H148" s="87" t="s">
        <v>2205</v>
      </c>
      <c r="I148" s="88" t="s">
        <v>2206</v>
      </c>
      <c r="J148" s="89" t="s">
        <v>2207</v>
      </c>
      <c r="K148" s="89" t="s">
        <v>735</v>
      </c>
      <c r="L148" s="89" t="s">
        <v>2112</v>
      </c>
      <c r="M148" s="118"/>
      <c r="N148" s="90">
        <v>2088</v>
      </c>
      <c r="O148" s="132"/>
      <c r="P148" s="90"/>
      <c r="Q148" s="133"/>
      <c r="R148" s="90"/>
      <c r="S148" s="130"/>
      <c r="T148" s="130"/>
      <c r="U148" s="128">
        <v>25000.91</v>
      </c>
      <c r="V148" s="92">
        <v>52201907.810000002</v>
      </c>
      <c r="W148" s="92">
        <f t="shared" si="6"/>
        <v>5220190.7810000004</v>
      </c>
      <c r="X148" s="129">
        <v>57422098.590000004</v>
      </c>
      <c r="Y148" s="115"/>
    </row>
    <row r="149" spans="1:25" s="94" customFormat="1" ht="30" customHeight="1">
      <c r="A149" s="85">
        <v>139</v>
      </c>
      <c r="B149" s="155" t="s">
        <v>57</v>
      </c>
      <c r="C149" s="126" t="s">
        <v>43</v>
      </c>
      <c r="D149" s="127" t="s">
        <v>51</v>
      </c>
      <c r="E149" s="127" t="s">
        <v>48</v>
      </c>
      <c r="F149" s="124" t="s">
        <v>59</v>
      </c>
      <c r="G149" s="88">
        <v>46228</v>
      </c>
      <c r="H149" s="87" t="s">
        <v>2208</v>
      </c>
      <c r="I149" s="88" t="s">
        <v>2209</v>
      </c>
      <c r="J149" s="89" t="s">
        <v>2210</v>
      </c>
      <c r="K149" s="89" t="s">
        <v>2211</v>
      </c>
      <c r="L149" s="89" t="s">
        <v>2173</v>
      </c>
      <c r="M149" s="118"/>
      <c r="N149" s="90">
        <v>5000</v>
      </c>
      <c r="O149" s="132"/>
      <c r="P149" s="90"/>
      <c r="Q149" s="133"/>
      <c r="R149" s="90"/>
      <c r="S149" s="130"/>
      <c r="T149" s="130"/>
      <c r="U149" s="128">
        <v>25000.91</v>
      </c>
      <c r="V149" s="92">
        <v>125004568.5</v>
      </c>
      <c r="W149" s="92">
        <f t="shared" si="6"/>
        <v>12500456.850000001</v>
      </c>
      <c r="X149" s="129">
        <v>137505025.34999999</v>
      </c>
      <c r="Y149" s="115"/>
    </row>
    <row r="150" spans="1:25" s="94" customFormat="1" ht="30" customHeight="1">
      <c r="A150" s="85">
        <v>140</v>
      </c>
      <c r="B150" s="155" t="s">
        <v>57</v>
      </c>
      <c r="C150" s="126" t="s">
        <v>43</v>
      </c>
      <c r="D150" s="127" t="s">
        <v>51</v>
      </c>
      <c r="E150" s="127" t="s">
        <v>48</v>
      </c>
      <c r="F150" s="124" t="s">
        <v>59</v>
      </c>
      <c r="G150" s="88">
        <v>46228</v>
      </c>
      <c r="H150" s="87" t="s">
        <v>2212</v>
      </c>
      <c r="I150" s="88" t="s">
        <v>2213</v>
      </c>
      <c r="J150" s="89" t="s">
        <v>2214</v>
      </c>
      <c r="K150" s="89" t="s">
        <v>759</v>
      </c>
      <c r="L150" s="89" t="s">
        <v>2173</v>
      </c>
      <c r="M150" s="118"/>
      <c r="N150" s="90">
        <v>10000</v>
      </c>
      <c r="O150" s="132"/>
      <c r="P150" s="90"/>
      <c r="Q150" s="133"/>
      <c r="R150" s="90"/>
      <c r="S150" s="130"/>
      <c r="T150" s="130"/>
      <c r="U150" s="128">
        <v>25000.91</v>
      </c>
      <c r="V150" s="92">
        <v>250009137</v>
      </c>
      <c r="W150" s="92">
        <f t="shared" si="6"/>
        <v>25000913.700000003</v>
      </c>
      <c r="X150" s="129">
        <v>275010050.69999999</v>
      </c>
      <c r="Y150" s="115"/>
    </row>
    <row r="151" spans="1:25" s="94" customFormat="1" ht="30" customHeight="1">
      <c r="A151" s="85">
        <v>141</v>
      </c>
      <c r="B151" s="155" t="s">
        <v>57</v>
      </c>
      <c r="C151" s="126" t="s">
        <v>43</v>
      </c>
      <c r="D151" s="127" t="s">
        <v>51</v>
      </c>
      <c r="E151" s="127" t="s">
        <v>48</v>
      </c>
      <c r="F151" s="124" t="s">
        <v>59</v>
      </c>
      <c r="G151" s="88">
        <v>46228</v>
      </c>
      <c r="H151" s="87" t="s">
        <v>2224</v>
      </c>
      <c r="I151" s="88" t="s">
        <v>2225</v>
      </c>
      <c r="J151" s="89" t="s">
        <v>2226</v>
      </c>
      <c r="K151" s="89" t="s">
        <v>754</v>
      </c>
      <c r="L151" s="89" t="s">
        <v>2173</v>
      </c>
      <c r="M151" s="118"/>
      <c r="N151" s="90">
        <v>157</v>
      </c>
      <c r="O151" s="132"/>
      <c r="P151" s="90"/>
      <c r="Q151" s="133"/>
      <c r="R151" s="90"/>
      <c r="S151" s="130"/>
      <c r="T151" s="130"/>
      <c r="U151" s="128">
        <v>25000.91</v>
      </c>
      <c r="V151" s="92">
        <v>3925143.45</v>
      </c>
      <c r="W151" s="92">
        <f t="shared" si="6"/>
        <v>392514.34500000003</v>
      </c>
      <c r="X151" s="129">
        <v>4317657.8</v>
      </c>
      <c r="Y151" s="115"/>
    </row>
    <row r="152" spans="1:25" s="94" customFormat="1" ht="30" customHeight="1">
      <c r="A152" s="85">
        <v>142</v>
      </c>
      <c r="B152" s="155" t="s">
        <v>57</v>
      </c>
      <c r="C152" s="126" t="s">
        <v>43</v>
      </c>
      <c r="D152" s="127" t="s">
        <v>51</v>
      </c>
      <c r="E152" s="127" t="s">
        <v>48</v>
      </c>
      <c r="F152" s="124" t="s">
        <v>59</v>
      </c>
      <c r="G152" s="88">
        <v>46228</v>
      </c>
      <c r="H152" s="87" t="s">
        <v>2227</v>
      </c>
      <c r="I152" s="88" t="s">
        <v>2228</v>
      </c>
      <c r="J152" s="89" t="s">
        <v>2229</v>
      </c>
      <c r="K152" s="89" t="s">
        <v>750</v>
      </c>
      <c r="L152" s="89" t="s">
        <v>2173</v>
      </c>
      <c r="M152" s="118"/>
      <c r="N152" s="90">
        <v>2924</v>
      </c>
      <c r="O152" s="132"/>
      <c r="P152" s="90"/>
      <c r="Q152" s="133"/>
      <c r="R152" s="90"/>
      <c r="S152" s="130"/>
      <c r="T152" s="130"/>
      <c r="U152" s="128">
        <v>25000.91</v>
      </c>
      <c r="V152" s="92">
        <v>73102671.659999996</v>
      </c>
      <c r="W152" s="92">
        <f t="shared" si="6"/>
        <v>7310267.1660000002</v>
      </c>
      <c r="X152" s="129">
        <v>80412938.829999998</v>
      </c>
      <c r="Y152" s="115"/>
    </row>
    <row r="153" spans="1:25" s="94" customFormat="1" ht="30" customHeight="1">
      <c r="A153" s="85">
        <v>143</v>
      </c>
      <c r="B153" s="155" t="s">
        <v>57</v>
      </c>
      <c r="C153" s="126" t="s">
        <v>43</v>
      </c>
      <c r="D153" s="127" t="s">
        <v>51</v>
      </c>
      <c r="E153" s="127" t="s">
        <v>48</v>
      </c>
      <c r="F153" s="124" t="s">
        <v>59</v>
      </c>
      <c r="G153" s="88">
        <v>46228</v>
      </c>
      <c r="H153" s="87" t="s">
        <v>2230</v>
      </c>
      <c r="I153" s="88" t="s">
        <v>2231</v>
      </c>
      <c r="J153" s="89" t="s">
        <v>2232</v>
      </c>
      <c r="K153" s="89" t="s">
        <v>747</v>
      </c>
      <c r="L153" s="89" t="s">
        <v>2173</v>
      </c>
      <c r="M153" s="118"/>
      <c r="N153" s="90">
        <v>40000</v>
      </c>
      <c r="O153" s="132"/>
      <c r="P153" s="90"/>
      <c r="Q153" s="133"/>
      <c r="R153" s="90"/>
      <c r="S153" s="130"/>
      <c r="T153" s="130"/>
      <c r="U153" s="128">
        <v>25054.720000000001</v>
      </c>
      <c r="V153" s="92">
        <v>1002188900</v>
      </c>
      <c r="W153" s="92">
        <f t="shared" si="6"/>
        <v>100218890</v>
      </c>
      <c r="X153" s="129">
        <v>1102407790</v>
      </c>
      <c r="Y153" s="115"/>
    </row>
    <row r="154" spans="1:25" s="94" customFormat="1" ht="30" customHeight="1">
      <c r="A154" s="85">
        <v>144</v>
      </c>
      <c r="B154" s="155" t="s">
        <v>57</v>
      </c>
      <c r="C154" s="126" t="s">
        <v>43</v>
      </c>
      <c r="D154" s="127" t="s">
        <v>51</v>
      </c>
      <c r="E154" s="127" t="s">
        <v>48</v>
      </c>
      <c r="F154" s="124" t="s">
        <v>59</v>
      </c>
      <c r="G154" s="88">
        <v>46228</v>
      </c>
      <c r="H154" s="87" t="s">
        <v>2233</v>
      </c>
      <c r="I154" s="88" t="s">
        <v>2234</v>
      </c>
      <c r="J154" s="89" t="s">
        <v>2235</v>
      </c>
      <c r="K154" s="89" t="s">
        <v>743</v>
      </c>
      <c r="L154" s="89" t="s">
        <v>2173</v>
      </c>
      <c r="M154" s="118"/>
      <c r="N154" s="90">
        <v>20000</v>
      </c>
      <c r="O154" s="132"/>
      <c r="P154" s="90"/>
      <c r="Q154" s="133"/>
      <c r="R154" s="90"/>
      <c r="S154" s="130"/>
      <c r="T154" s="130"/>
      <c r="U154" s="128">
        <v>25054.720000000001</v>
      </c>
      <c r="V154" s="92">
        <v>501094450</v>
      </c>
      <c r="W154" s="92">
        <f t="shared" si="6"/>
        <v>50109445</v>
      </c>
      <c r="X154" s="129">
        <v>551203895</v>
      </c>
      <c r="Y154" s="115"/>
    </row>
    <row r="155" spans="1:25" s="94" customFormat="1" ht="30" customHeight="1">
      <c r="A155" s="85">
        <v>145</v>
      </c>
      <c r="B155" s="155" t="s">
        <v>57</v>
      </c>
      <c r="C155" s="126" t="s">
        <v>43</v>
      </c>
      <c r="D155" s="127" t="s">
        <v>51</v>
      </c>
      <c r="E155" s="127" t="s">
        <v>48</v>
      </c>
      <c r="F155" s="124" t="s">
        <v>59</v>
      </c>
      <c r="G155" s="88">
        <v>46229</v>
      </c>
      <c r="H155" s="87" t="s">
        <v>2255</v>
      </c>
      <c r="I155" s="88" t="s">
        <v>2256</v>
      </c>
      <c r="J155" s="89" t="s">
        <v>2257</v>
      </c>
      <c r="K155" s="89" t="s">
        <v>768</v>
      </c>
      <c r="L155" s="89" t="s">
        <v>2258</v>
      </c>
      <c r="M155" s="118"/>
      <c r="N155" s="90">
        <v>84000</v>
      </c>
      <c r="O155" s="132"/>
      <c r="P155" s="90"/>
      <c r="Q155" s="133"/>
      <c r="R155" s="90"/>
      <c r="S155" s="130"/>
      <c r="T155" s="130"/>
      <c r="U155" s="128">
        <v>25000.91</v>
      </c>
      <c r="V155" s="92">
        <v>2100076750.8</v>
      </c>
      <c r="W155" s="92">
        <f t="shared" si="6"/>
        <v>210007675.08000001</v>
      </c>
      <c r="X155" s="129">
        <v>2310084425.8800001</v>
      </c>
      <c r="Y155" s="115"/>
    </row>
    <row r="156" spans="1:25" s="94" customFormat="1" ht="30" customHeight="1">
      <c r="A156" s="85">
        <v>146</v>
      </c>
      <c r="B156" s="155" t="s">
        <v>57</v>
      </c>
      <c r="C156" s="126" t="s">
        <v>43</v>
      </c>
      <c r="D156" s="127" t="s">
        <v>51</v>
      </c>
      <c r="E156" s="127" t="s">
        <v>48</v>
      </c>
      <c r="F156" s="124" t="s">
        <v>59</v>
      </c>
      <c r="G156" s="88">
        <v>46229</v>
      </c>
      <c r="H156" s="87" t="s">
        <v>2259</v>
      </c>
      <c r="I156" s="88" t="s">
        <v>2260</v>
      </c>
      <c r="J156" s="89" t="s">
        <v>2261</v>
      </c>
      <c r="K156" s="89" t="s">
        <v>2689</v>
      </c>
      <c r="L156" s="89" t="s">
        <v>2258</v>
      </c>
      <c r="M156" s="118"/>
      <c r="N156" s="90">
        <v>6500</v>
      </c>
      <c r="O156" s="132"/>
      <c r="P156" s="90"/>
      <c r="Q156" s="133"/>
      <c r="R156" s="90"/>
      <c r="S156" s="130"/>
      <c r="T156" s="130"/>
      <c r="U156" s="128">
        <v>25000.91</v>
      </c>
      <c r="V156" s="92">
        <v>162505939.05000001</v>
      </c>
      <c r="W156" s="92">
        <f t="shared" si="6"/>
        <v>16250593.905000001</v>
      </c>
      <c r="X156" s="129">
        <v>178756532.96000001</v>
      </c>
      <c r="Y156" s="115"/>
    </row>
    <row r="157" spans="1:25" s="94" customFormat="1" ht="30" customHeight="1">
      <c r="A157" s="85">
        <v>147</v>
      </c>
      <c r="B157" s="155" t="s">
        <v>57</v>
      </c>
      <c r="C157" s="126" t="s">
        <v>43</v>
      </c>
      <c r="D157" s="127" t="s">
        <v>51</v>
      </c>
      <c r="E157" s="127" t="s">
        <v>48</v>
      </c>
      <c r="F157" s="124" t="s">
        <v>59</v>
      </c>
      <c r="G157" s="88">
        <v>46229</v>
      </c>
      <c r="H157" s="87" t="s">
        <v>2262</v>
      </c>
      <c r="I157" s="88" t="s">
        <v>2263</v>
      </c>
      <c r="J157" s="89" t="s">
        <v>2264</v>
      </c>
      <c r="K157" s="89" t="s">
        <v>771</v>
      </c>
      <c r="L157" s="89" t="s">
        <v>2258</v>
      </c>
      <c r="M157" s="118"/>
      <c r="N157" s="90">
        <v>262</v>
      </c>
      <c r="O157" s="132"/>
      <c r="P157" s="90"/>
      <c r="Q157" s="133"/>
      <c r="R157" s="90"/>
      <c r="S157" s="130"/>
      <c r="T157" s="130"/>
      <c r="U157" s="128">
        <v>25000.91</v>
      </c>
      <c r="V157" s="92">
        <v>6550239.3899999997</v>
      </c>
      <c r="W157" s="92">
        <f t="shared" si="6"/>
        <v>655023.93900000001</v>
      </c>
      <c r="X157" s="129">
        <v>7205263.3300000001</v>
      </c>
      <c r="Y157" s="115"/>
    </row>
    <row r="158" spans="1:25" s="94" customFormat="1" ht="30" customHeight="1">
      <c r="A158" s="85">
        <v>148</v>
      </c>
      <c r="B158" s="155" t="s">
        <v>57</v>
      </c>
      <c r="C158" s="126" t="s">
        <v>43</v>
      </c>
      <c r="D158" s="127" t="s">
        <v>51</v>
      </c>
      <c r="E158" s="127" t="s">
        <v>48</v>
      </c>
      <c r="F158" s="124" t="s">
        <v>59</v>
      </c>
      <c r="G158" s="88">
        <v>46230</v>
      </c>
      <c r="H158" s="87" t="s">
        <v>2349</v>
      </c>
      <c r="I158" s="88" t="s">
        <v>2350</v>
      </c>
      <c r="J158" s="89" t="s">
        <v>2351</v>
      </c>
      <c r="K158" s="89" t="s">
        <v>2352</v>
      </c>
      <c r="L158" s="89" t="s">
        <v>2222</v>
      </c>
      <c r="M158" s="118"/>
      <c r="N158" s="90">
        <v>40000</v>
      </c>
      <c r="O158" s="132"/>
      <c r="P158" s="90"/>
      <c r="Q158" s="133"/>
      <c r="R158" s="90"/>
      <c r="S158" s="130"/>
      <c r="T158" s="130"/>
      <c r="U158" s="128">
        <v>27375.51</v>
      </c>
      <c r="V158" s="92">
        <v>1095020416</v>
      </c>
      <c r="W158" s="92">
        <f t="shared" si="6"/>
        <v>109502041.60000001</v>
      </c>
      <c r="X158" s="129">
        <v>1204522457.5999999</v>
      </c>
      <c r="Y158" s="115"/>
    </row>
    <row r="159" spans="1:25" s="94" customFormat="1" ht="30" customHeight="1">
      <c r="A159" s="85">
        <v>149</v>
      </c>
      <c r="B159" s="155" t="s">
        <v>57</v>
      </c>
      <c r="C159" s="126" t="s">
        <v>43</v>
      </c>
      <c r="D159" s="127" t="s">
        <v>51</v>
      </c>
      <c r="E159" s="127" t="s">
        <v>48</v>
      </c>
      <c r="F159" s="124" t="s">
        <v>59</v>
      </c>
      <c r="G159" s="88">
        <v>46230</v>
      </c>
      <c r="H159" s="87" t="s">
        <v>2353</v>
      </c>
      <c r="I159" s="88" t="s">
        <v>2354</v>
      </c>
      <c r="J159" s="89" t="s">
        <v>2355</v>
      </c>
      <c r="K159" s="89" t="s">
        <v>824</v>
      </c>
      <c r="L159" s="89" t="s">
        <v>2222</v>
      </c>
      <c r="M159" s="118"/>
      <c r="N159" s="90">
        <v>75100</v>
      </c>
      <c r="O159" s="132"/>
      <c r="P159" s="90"/>
      <c r="Q159" s="133"/>
      <c r="R159" s="90"/>
      <c r="S159" s="130"/>
      <c r="T159" s="130"/>
      <c r="U159" s="128">
        <v>27321.62</v>
      </c>
      <c r="V159" s="92">
        <v>2051853782.1600001</v>
      </c>
      <c r="W159" s="92">
        <f t="shared" si="6"/>
        <v>205185378.21600002</v>
      </c>
      <c r="X159" s="129">
        <v>2257039160.3800001</v>
      </c>
      <c r="Y159" s="115"/>
    </row>
    <row r="160" spans="1:25" s="94" customFormat="1" ht="30" customHeight="1">
      <c r="A160" s="85">
        <v>150</v>
      </c>
      <c r="B160" s="155" t="s">
        <v>57</v>
      </c>
      <c r="C160" s="126" t="s">
        <v>43</v>
      </c>
      <c r="D160" s="127" t="s">
        <v>51</v>
      </c>
      <c r="E160" s="127" t="s">
        <v>48</v>
      </c>
      <c r="F160" s="124" t="s">
        <v>59</v>
      </c>
      <c r="G160" s="88">
        <v>46230</v>
      </c>
      <c r="H160" s="87" t="s">
        <v>2356</v>
      </c>
      <c r="I160" s="88" t="s">
        <v>2357</v>
      </c>
      <c r="J160" s="89" t="s">
        <v>2358</v>
      </c>
      <c r="K160" s="89" t="s">
        <v>828</v>
      </c>
      <c r="L160" s="89" t="s">
        <v>2222</v>
      </c>
      <c r="M160" s="118"/>
      <c r="N160" s="90">
        <v>229</v>
      </c>
      <c r="O160" s="132"/>
      <c r="P160" s="90"/>
      <c r="Q160" s="133"/>
      <c r="R160" s="90"/>
      <c r="S160" s="130"/>
      <c r="T160" s="130"/>
      <c r="U160" s="128">
        <v>27321.62</v>
      </c>
      <c r="V160" s="92">
        <v>6256651.3499999996</v>
      </c>
      <c r="W160" s="92">
        <f t="shared" si="6"/>
        <v>625665.13500000001</v>
      </c>
      <c r="X160" s="129">
        <v>6882316.4800000004</v>
      </c>
      <c r="Y160" s="115"/>
    </row>
    <row r="161" spans="1:25" s="94" customFormat="1" ht="30" customHeight="1">
      <c r="A161" s="85">
        <v>151</v>
      </c>
      <c r="B161" s="155" t="s">
        <v>57</v>
      </c>
      <c r="C161" s="126" t="s">
        <v>43</v>
      </c>
      <c r="D161" s="127" t="s">
        <v>51</v>
      </c>
      <c r="E161" s="127" t="s">
        <v>48</v>
      </c>
      <c r="F161" s="124" t="s">
        <v>59</v>
      </c>
      <c r="G161" s="88">
        <v>46230</v>
      </c>
      <c r="H161" s="87" t="s">
        <v>2359</v>
      </c>
      <c r="I161" s="88" t="s">
        <v>2360</v>
      </c>
      <c r="J161" s="89" t="s">
        <v>2361</v>
      </c>
      <c r="K161" s="89" t="s">
        <v>832</v>
      </c>
      <c r="L161" s="89" t="s">
        <v>2222</v>
      </c>
      <c r="M161" s="118"/>
      <c r="N161" s="90">
        <v>1685</v>
      </c>
      <c r="O161" s="132"/>
      <c r="P161" s="90"/>
      <c r="Q161" s="133"/>
      <c r="R161" s="90"/>
      <c r="S161" s="130"/>
      <c r="T161" s="130"/>
      <c r="U161" s="128">
        <v>27321.62</v>
      </c>
      <c r="V161" s="92">
        <v>46036932.399999999</v>
      </c>
      <c r="W161" s="92">
        <f t="shared" si="6"/>
        <v>4603693.24</v>
      </c>
      <c r="X161" s="129">
        <v>50640625.640000001</v>
      </c>
      <c r="Y161" s="115"/>
    </row>
    <row r="162" spans="1:25" s="94" customFormat="1" ht="30" customHeight="1">
      <c r="A162" s="85">
        <v>152</v>
      </c>
      <c r="B162" s="215" t="s">
        <v>534</v>
      </c>
      <c r="C162" s="126" t="s">
        <v>43</v>
      </c>
      <c r="D162" s="127" t="s">
        <v>51</v>
      </c>
      <c r="E162" s="127" t="s">
        <v>48</v>
      </c>
      <c r="F162" s="124" t="s">
        <v>59</v>
      </c>
      <c r="G162" s="88">
        <v>46232</v>
      </c>
      <c r="H162" s="87" t="s">
        <v>2376</v>
      </c>
      <c r="I162" s="88" t="s">
        <v>2377</v>
      </c>
      <c r="J162" s="89" t="s">
        <v>2378</v>
      </c>
      <c r="K162" s="89" t="s">
        <v>886</v>
      </c>
      <c r="L162" s="89" t="s">
        <v>2365</v>
      </c>
      <c r="M162" s="118"/>
      <c r="N162" s="90">
        <v>20000</v>
      </c>
      <c r="O162" s="132"/>
      <c r="P162" s="90"/>
      <c r="Q162" s="133"/>
      <c r="R162" s="90"/>
      <c r="S162" s="130"/>
      <c r="T162" s="130"/>
      <c r="U162" s="128">
        <v>27380.79</v>
      </c>
      <c r="V162" s="92">
        <v>547615872</v>
      </c>
      <c r="W162" s="92">
        <f t="shared" si="6"/>
        <v>54761587.200000003</v>
      </c>
      <c r="X162" s="129">
        <v>602377459.20000005</v>
      </c>
      <c r="Y162" s="115"/>
    </row>
    <row r="163" spans="1:25" s="94" customFormat="1" ht="30" customHeight="1">
      <c r="A163" s="85">
        <v>153</v>
      </c>
      <c r="B163" s="215" t="s">
        <v>534</v>
      </c>
      <c r="C163" s="126" t="s">
        <v>43</v>
      </c>
      <c r="D163" s="127" t="s">
        <v>51</v>
      </c>
      <c r="E163" s="127" t="s">
        <v>48</v>
      </c>
      <c r="F163" s="124" t="s">
        <v>59</v>
      </c>
      <c r="G163" s="88">
        <v>46230</v>
      </c>
      <c r="H163" s="87" t="s">
        <v>2379</v>
      </c>
      <c r="I163" s="88" t="s">
        <v>2380</v>
      </c>
      <c r="J163" s="89" t="s">
        <v>2381</v>
      </c>
      <c r="K163" s="89" t="s">
        <v>859</v>
      </c>
      <c r="L163" s="89" t="s">
        <v>2222</v>
      </c>
      <c r="M163" s="118"/>
      <c r="N163" s="90">
        <v>20000</v>
      </c>
      <c r="O163" s="132"/>
      <c r="P163" s="90"/>
      <c r="Q163" s="133"/>
      <c r="R163" s="90"/>
      <c r="S163" s="130"/>
      <c r="T163" s="130"/>
      <c r="U163" s="128">
        <v>27375.51</v>
      </c>
      <c r="V163" s="92">
        <v>547510208</v>
      </c>
      <c r="W163" s="92">
        <f t="shared" si="6"/>
        <v>54751020.800000004</v>
      </c>
      <c r="X163" s="129">
        <v>602261228.79999995</v>
      </c>
      <c r="Y163" s="115"/>
    </row>
    <row r="164" spans="1:25" s="94" customFormat="1" ht="30" customHeight="1">
      <c r="A164" s="85">
        <v>154</v>
      </c>
      <c r="B164" s="155" t="s">
        <v>57</v>
      </c>
      <c r="C164" s="126" t="s">
        <v>43</v>
      </c>
      <c r="D164" s="127" t="s">
        <v>51</v>
      </c>
      <c r="E164" s="127" t="s">
        <v>48</v>
      </c>
      <c r="F164" s="124" t="s">
        <v>59</v>
      </c>
      <c r="G164" s="88">
        <v>46231</v>
      </c>
      <c r="H164" s="87" t="s">
        <v>2382</v>
      </c>
      <c r="I164" s="88" t="s">
        <v>2383</v>
      </c>
      <c r="J164" s="89" t="s">
        <v>2384</v>
      </c>
      <c r="K164" s="89" t="s">
        <v>844</v>
      </c>
      <c r="L164" s="89" t="s">
        <v>2385</v>
      </c>
      <c r="M164" s="118"/>
      <c r="N164" s="90">
        <v>60000</v>
      </c>
      <c r="O164" s="132"/>
      <c r="P164" s="90"/>
      <c r="Q164" s="133"/>
      <c r="R164" s="90"/>
      <c r="S164" s="130"/>
      <c r="T164" s="130"/>
      <c r="U164" s="128">
        <v>27371.45</v>
      </c>
      <c r="V164" s="92">
        <v>1642286784</v>
      </c>
      <c r="W164" s="92">
        <f t="shared" si="6"/>
        <v>164228678.40000001</v>
      </c>
      <c r="X164" s="129">
        <v>1806515462.4000001</v>
      </c>
      <c r="Y164" s="115"/>
    </row>
    <row r="165" spans="1:25" s="94" customFormat="1" ht="30" customHeight="1">
      <c r="A165" s="85">
        <v>155</v>
      </c>
      <c r="B165" s="155" t="s">
        <v>57</v>
      </c>
      <c r="C165" s="126" t="s">
        <v>43</v>
      </c>
      <c r="D165" s="127" t="s">
        <v>51</v>
      </c>
      <c r="E165" s="127" t="s">
        <v>48</v>
      </c>
      <c r="F165" s="124" t="s">
        <v>59</v>
      </c>
      <c r="G165" s="88">
        <v>46231</v>
      </c>
      <c r="H165" s="87" t="s">
        <v>2386</v>
      </c>
      <c r="I165" s="88" t="s">
        <v>2387</v>
      </c>
      <c r="J165" s="89" t="s">
        <v>2388</v>
      </c>
      <c r="K165" s="89" t="s">
        <v>872</v>
      </c>
      <c r="L165" s="89" t="s">
        <v>2385</v>
      </c>
      <c r="M165" s="118"/>
      <c r="N165" s="90">
        <v>2347</v>
      </c>
      <c r="O165" s="91"/>
      <c r="P165" s="90"/>
      <c r="Q165" s="90"/>
      <c r="R165" s="90"/>
      <c r="S165" s="130"/>
      <c r="T165" s="90"/>
      <c r="U165" s="128">
        <v>27317.57</v>
      </c>
      <c r="V165" s="92">
        <v>64114326.460000001</v>
      </c>
      <c r="W165" s="92">
        <f t="shared" si="6"/>
        <v>6411432.6460000006</v>
      </c>
      <c r="X165" s="129">
        <v>70525759.109999999</v>
      </c>
      <c r="Y165" s="115"/>
    </row>
    <row r="166" spans="1:25" s="94" customFormat="1" ht="30" customHeight="1">
      <c r="A166" s="85">
        <v>156</v>
      </c>
      <c r="B166" s="155" t="s">
        <v>57</v>
      </c>
      <c r="C166" s="126" t="s">
        <v>43</v>
      </c>
      <c r="D166" s="127" t="s">
        <v>51</v>
      </c>
      <c r="E166" s="127" t="s">
        <v>48</v>
      </c>
      <c r="F166" s="124" t="s">
        <v>59</v>
      </c>
      <c r="G166" s="88">
        <v>46231</v>
      </c>
      <c r="H166" s="87" t="s">
        <v>2389</v>
      </c>
      <c r="I166" s="88" t="s">
        <v>2390</v>
      </c>
      <c r="J166" s="89" t="s">
        <v>2391</v>
      </c>
      <c r="K166" s="89" t="s">
        <v>876</v>
      </c>
      <c r="L166" s="89" t="s">
        <v>2385</v>
      </c>
      <c r="M166" s="118"/>
      <c r="N166" s="90">
        <v>279</v>
      </c>
      <c r="O166" s="132"/>
      <c r="P166" s="90"/>
      <c r="Q166" s="133"/>
      <c r="R166" s="90"/>
      <c r="S166" s="130"/>
      <c r="T166" s="130"/>
      <c r="U166" s="128">
        <v>27317.57</v>
      </c>
      <c r="V166" s="92">
        <v>7621600.7999999998</v>
      </c>
      <c r="W166" s="92">
        <f t="shared" si="6"/>
        <v>762160.08000000007</v>
      </c>
      <c r="X166" s="129">
        <v>8383760.8799999999</v>
      </c>
      <c r="Y166" s="115"/>
    </row>
    <row r="167" spans="1:25" s="94" customFormat="1" ht="30" customHeight="1">
      <c r="A167" s="85">
        <v>157</v>
      </c>
      <c r="B167" s="86" t="s">
        <v>50</v>
      </c>
      <c r="C167" s="127" t="s">
        <v>43</v>
      </c>
      <c r="D167" s="127" t="s">
        <v>51</v>
      </c>
      <c r="E167" s="127" t="s">
        <v>48</v>
      </c>
      <c r="F167" s="117" t="s">
        <v>49</v>
      </c>
      <c r="G167" s="88">
        <v>46232</v>
      </c>
      <c r="H167" s="87" t="s">
        <v>2414</v>
      </c>
      <c r="I167" s="88" t="s">
        <v>2415</v>
      </c>
      <c r="J167" s="89" t="s">
        <v>2416</v>
      </c>
      <c r="K167" s="89" t="s">
        <v>2417</v>
      </c>
      <c r="L167" s="89" t="s">
        <v>2365</v>
      </c>
      <c r="M167" s="118" t="s">
        <v>2699</v>
      </c>
      <c r="N167" s="90">
        <v>7349</v>
      </c>
      <c r="O167" s="91">
        <v>46218</v>
      </c>
      <c r="P167" s="90" t="s">
        <v>2010</v>
      </c>
      <c r="Q167" s="90">
        <v>80</v>
      </c>
      <c r="R167" s="90">
        <v>31090</v>
      </c>
      <c r="S167" s="130">
        <v>400</v>
      </c>
      <c r="T167" s="90">
        <f t="shared" ref="T167" si="7">+R167-S167</f>
        <v>30690</v>
      </c>
      <c r="U167" s="92">
        <f t="shared" ref="U167" si="8">+T167*0.909090909090909</f>
        <v>27899.999999999996</v>
      </c>
      <c r="V167" s="92">
        <f t="shared" ref="V167" si="9">+N167*T167*0.909090909090909</f>
        <v>205037099.99999997</v>
      </c>
      <c r="W167" s="92">
        <f t="shared" ref="W167" si="10">+V167*10%</f>
        <v>20503710</v>
      </c>
      <c r="X167" s="93">
        <f t="shared" ref="X167" si="11">SUM(V167:W167)</f>
        <v>225540809.99999997</v>
      </c>
      <c r="Y167" s="115"/>
    </row>
    <row r="168" spans="1:25" s="94" customFormat="1" ht="30" customHeight="1">
      <c r="A168" s="85">
        <v>158</v>
      </c>
      <c r="B168" s="155" t="s">
        <v>57</v>
      </c>
      <c r="C168" s="126" t="s">
        <v>43</v>
      </c>
      <c r="D168" s="127" t="s">
        <v>51</v>
      </c>
      <c r="E168" s="127" t="s">
        <v>48</v>
      </c>
      <c r="F168" s="124" t="s">
        <v>59</v>
      </c>
      <c r="G168" s="88">
        <v>46232</v>
      </c>
      <c r="H168" s="87" t="s">
        <v>2427</v>
      </c>
      <c r="I168" s="88" t="s">
        <v>2428</v>
      </c>
      <c r="J168" s="89" t="s">
        <v>2429</v>
      </c>
      <c r="K168" s="89" t="s">
        <v>920</v>
      </c>
      <c r="L168" s="89" t="s">
        <v>2365</v>
      </c>
      <c r="M168" s="118"/>
      <c r="N168" s="90">
        <v>392</v>
      </c>
      <c r="O168" s="132"/>
      <c r="P168" s="90"/>
      <c r="Q168" s="133"/>
      <c r="R168" s="90"/>
      <c r="S168" s="130"/>
      <c r="T168" s="130"/>
      <c r="U168" s="128">
        <v>27326.89</v>
      </c>
      <c r="V168" s="92">
        <v>10712142.6</v>
      </c>
      <c r="W168" s="92">
        <f t="shared" si="6"/>
        <v>1071214.26</v>
      </c>
      <c r="X168" s="129">
        <v>11783356.859999999</v>
      </c>
      <c r="Y168" s="115"/>
    </row>
    <row r="169" spans="1:25" s="94" customFormat="1" ht="30" customHeight="1">
      <c r="A169" s="85">
        <v>159</v>
      </c>
      <c r="B169" s="86" t="s">
        <v>50</v>
      </c>
      <c r="C169" s="127" t="s">
        <v>43</v>
      </c>
      <c r="D169" s="127" t="s">
        <v>51</v>
      </c>
      <c r="E169" s="127" t="s">
        <v>48</v>
      </c>
      <c r="F169" s="117" t="s">
        <v>49</v>
      </c>
      <c r="G169" s="88">
        <v>46232</v>
      </c>
      <c r="H169" s="87" t="s">
        <v>2645</v>
      </c>
      <c r="I169" s="88" t="s">
        <v>2646</v>
      </c>
      <c r="J169" s="89" t="s">
        <v>2647</v>
      </c>
      <c r="K169" s="89" t="s">
        <v>2648</v>
      </c>
      <c r="L169" s="89" t="s">
        <v>2365</v>
      </c>
      <c r="M169" s="118" t="s">
        <v>2700</v>
      </c>
      <c r="N169" s="90">
        <v>525</v>
      </c>
      <c r="O169" s="91">
        <v>46218</v>
      </c>
      <c r="P169" s="90" t="s">
        <v>2010</v>
      </c>
      <c r="Q169" s="90">
        <v>80</v>
      </c>
      <c r="R169" s="90">
        <v>31090</v>
      </c>
      <c r="S169" s="130">
        <v>400</v>
      </c>
      <c r="T169" s="130">
        <v>30690</v>
      </c>
      <c r="U169" s="128">
        <v>27900</v>
      </c>
      <c r="V169" s="92">
        <v>14647500</v>
      </c>
      <c r="W169" s="92">
        <f t="shared" si="6"/>
        <v>1464750</v>
      </c>
      <c r="X169" s="129">
        <v>16112250</v>
      </c>
      <c r="Y169" s="115"/>
    </row>
    <row r="170" spans="1:25" s="94" customFormat="1" ht="30" customHeight="1">
      <c r="A170" s="85">
        <v>160</v>
      </c>
      <c r="B170" s="155" t="s">
        <v>57</v>
      </c>
      <c r="C170" s="126" t="s">
        <v>43</v>
      </c>
      <c r="D170" s="127" t="s">
        <v>51</v>
      </c>
      <c r="E170" s="127" t="s">
        <v>48</v>
      </c>
      <c r="F170" s="124" t="s">
        <v>59</v>
      </c>
      <c r="G170" s="88">
        <v>46232</v>
      </c>
      <c r="H170" s="87" t="s">
        <v>2652</v>
      </c>
      <c r="I170" s="88" t="s">
        <v>2653</v>
      </c>
      <c r="J170" s="89" t="s">
        <v>2654</v>
      </c>
      <c r="K170" s="89" t="s">
        <v>894</v>
      </c>
      <c r="L170" s="89" t="s">
        <v>2365</v>
      </c>
      <c r="M170" s="118"/>
      <c r="N170" s="90">
        <v>40000</v>
      </c>
      <c r="O170" s="132"/>
      <c r="P170" s="90"/>
      <c r="Q170" s="133"/>
      <c r="R170" s="90"/>
      <c r="S170" s="130"/>
      <c r="T170" s="130"/>
      <c r="U170" s="128">
        <f t="shared" ref="U170:U176" si="12">+V170/N170</f>
        <v>27380.793600000001</v>
      </c>
      <c r="V170" s="92">
        <f t="shared" ref="V170:V176" si="13">+X170/1.1</f>
        <v>1095231744</v>
      </c>
      <c r="W170" s="92">
        <f t="shared" si="6"/>
        <v>109523174.40000001</v>
      </c>
      <c r="X170" s="129">
        <v>1204754918.4000001</v>
      </c>
      <c r="Y170" s="115"/>
    </row>
    <row r="171" spans="1:25" s="94" customFormat="1" ht="30" customHeight="1">
      <c r="A171" s="85">
        <v>161</v>
      </c>
      <c r="B171" s="86" t="s">
        <v>50</v>
      </c>
      <c r="C171" s="127" t="s">
        <v>43</v>
      </c>
      <c r="D171" s="127" t="s">
        <v>51</v>
      </c>
      <c r="E171" s="127" t="s">
        <v>48</v>
      </c>
      <c r="F171" s="117" t="s">
        <v>49</v>
      </c>
      <c r="G171" s="88">
        <v>46233</v>
      </c>
      <c r="H171" s="87" t="s">
        <v>2678</v>
      </c>
      <c r="I171" s="88" t="s">
        <v>2679</v>
      </c>
      <c r="J171" s="89" t="s">
        <v>2680</v>
      </c>
      <c r="K171" s="89" t="s">
        <v>948</v>
      </c>
      <c r="L171" s="89" t="s">
        <v>2659</v>
      </c>
      <c r="M171" s="118" t="s">
        <v>2677</v>
      </c>
      <c r="N171" s="90">
        <v>40</v>
      </c>
      <c r="O171" s="91">
        <v>46232</v>
      </c>
      <c r="P171" s="90" t="s">
        <v>2661</v>
      </c>
      <c r="Q171" s="90">
        <v>80</v>
      </c>
      <c r="R171" s="90">
        <v>32600</v>
      </c>
      <c r="S171" s="90">
        <v>400</v>
      </c>
      <c r="T171" s="90">
        <f t="shared" ref="T171" si="14">+R171-S171</f>
        <v>32200</v>
      </c>
      <c r="U171" s="92">
        <f t="shared" ref="U171" si="15">+T171*0.909090909090909</f>
        <v>29272.727272727268</v>
      </c>
      <c r="V171" s="92">
        <f t="shared" ref="V171" si="16">+N171*T171*0.909090909090909</f>
        <v>1170909.0909090908</v>
      </c>
      <c r="W171" s="92">
        <f t="shared" ref="W171" si="17">+V171*10%</f>
        <v>117090.90909090909</v>
      </c>
      <c r="X171" s="93">
        <f t="shared" ref="X171" si="18">SUM(V171:W171)</f>
        <v>1288000</v>
      </c>
      <c r="Y171" s="115"/>
    </row>
    <row r="172" spans="1:25" s="94" customFormat="1" ht="30" customHeight="1">
      <c r="A172" s="85">
        <v>162</v>
      </c>
      <c r="B172" s="215" t="s">
        <v>534</v>
      </c>
      <c r="C172" s="126" t="s">
        <v>43</v>
      </c>
      <c r="D172" s="127" t="s">
        <v>51</v>
      </c>
      <c r="E172" s="127" t="s">
        <v>48</v>
      </c>
      <c r="F172" s="124" t="s">
        <v>59</v>
      </c>
      <c r="G172" s="88">
        <v>46234</v>
      </c>
      <c r="H172" s="87" t="s">
        <v>2681</v>
      </c>
      <c r="I172" s="88" t="s">
        <v>2686</v>
      </c>
      <c r="J172" s="89" t="s">
        <v>2682</v>
      </c>
      <c r="K172" s="89" t="s">
        <v>968</v>
      </c>
      <c r="L172" s="89" t="s">
        <v>2683</v>
      </c>
      <c r="M172" s="118"/>
      <c r="N172" s="90">
        <v>20000</v>
      </c>
      <c r="O172" s="91"/>
      <c r="P172" s="90"/>
      <c r="Q172" s="90"/>
      <c r="R172" s="90"/>
      <c r="S172" s="130"/>
      <c r="T172" s="90"/>
      <c r="U172" s="128">
        <f t="shared" si="12"/>
        <v>27522.4768</v>
      </c>
      <c r="V172" s="92">
        <f t="shared" si="13"/>
        <v>550449536</v>
      </c>
      <c r="W172" s="92">
        <f t="shared" si="6"/>
        <v>55044953.600000001</v>
      </c>
      <c r="X172" s="129">
        <v>605494489.60000002</v>
      </c>
      <c r="Y172" s="115"/>
    </row>
    <row r="173" spans="1:25" s="94" customFormat="1" ht="30" customHeight="1">
      <c r="A173" s="85">
        <v>163</v>
      </c>
      <c r="B173" s="261" t="s">
        <v>57</v>
      </c>
      <c r="C173" s="262" t="s">
        <v>43</v>
      </c>
      <c r="D173" s="262" t="s">
        <v>51</v>
      </c>
      <c r="E173" s="262" t="s">
        <v>48</v>
      </c>
      <c r="F173" s="260" t="s">
        <v>59</v>
      </c>
      <c r="G173" s="263">
        <v>46233</v>
      </c>
      <c r="H173" s="264" t="s">
        <v>2684</v>
      </c>
      <c r="I173" s="263" t="s">
        <v>2685</v>
      </c>
      <c r="J173" s="265" t="s">
        <v>2736</v>
      </c>
      <c r="K173" s="265" t="s">
        <v>956</v>
      </c>
      <c r="L173" s="265" t="s">
        <v>2659</v>
      </c>
      <c r="M173" s="266"/>
      <c r="N173" s="267">
        <v>469</v>
      </c>
      <c r="O173" s="268"/>
      <c r="P173" s="267"/>
      <c r="Q173" s="269"/>
      <c r="R173" s="267"/>
      <c r="S173" s="270"/>
      <c r="T173" s="270"/>
      <c r="U173" s="271">
        <f t="shared" si="12"/>
        <v>27458.352607094395</v>
      </c>
      <c r="V173" s="272">
        <f t="shared" si="13"/>
        <v>12877967.372727271</v>
      </c>
      <c r="W173" s="272">
        <f t="shared" si="6"/>
        <v>1287796.7372727273</v>
      </c>
      <c r="X173" s="273">
        <v>14165764.109999999</v>
      </c>
      <c r="Y173" s="115"/>
    </row>
    <row r="174" spans="1:25" s="94" customFormat="1" ht="30" customHeight="1">
      <c r="A174" s="85">
        <v>164</v>
      </c>
      <c r="B174" s="261" t="s">
        <v>57</v>
      </c>
      <c r="C174" s="262" t="s">
        <v>43</v>
      </c>
      <c r="D174" s="262" t="s">
        <v>51</v>
      </c>
      <c r="E174" s="262" t="s">
        <v>48</v>
      </c>
      <c r="F174" s="260" t="s">
        <v>59</v>
      </c>
      <c r="G174" s="263">
        <v>46233</v>
      </c>
      <c r="H174" s="264" t="s">
        <v>2688</v>
      </c>
      <c r="I174" s="263" t="s">
        <v>2687</v>
      </c>
      <c r="J174" s="265" t="s">
        <v>2735</v>
      </c>
      <c r="K174" s="265" t="s">
        <v>952</v>
      </c>
      <c r="L174" s="265" t="s">
        <v>2659</v>
      </c>
      <c r="M174" s="266"/>
      <c r="N174" s="267">
        <v>1256</v>
      </c>
      <c r="O174" s="268"/>
      <c r="P174" s="267"/>
      <c r="Q174" s="269"/>
      <c r="R174" s="267"/>
      <c r="S174" s="270"/>
      <c r="T174" s="270"/>
      <c r="U174" s="271">
        <f t="shared" si="12"/>
        <v>27458.352605674576</v>
      </c>
      <c r="V174" s="272">
        <f t="shared" si="13"/>
        <v>34487690.872727267</v>
      </c>
      <c r="W174" s="272">
        <f t="shared" si="6"/>
        <v>3448769.0872727269</v>
      </c>
      <c r="X174" s="273">
        <v>37936459.960000001</v>
      </c>
      <c r="Y174" s="115"/>
    </row>
    <row r="175" spans="1:25" s="94" customFormat="1" ht="30" customHeight="1">
      <c r="A175" s="85">
        <v>165</v>
      </c>
      <c r="B175" s="155" t="s">
        <v>57</v>
      </c>
      <c r="C175" s="126" t="s">
        <v>43</v>
      </c>
      <c r="D175" s="127" t="s">
        <v>51</v>
      </c>
      <c r="E175" s="127" t="s">
        <v>48</v>
      </c>
      <c r="F175" s="124" t="s">
        <v>59</v>
      </c>
      <c r="G175" s="88">
        <v>46234</v>
      </c>
      <c r="H175" s="87" t="s">
        <v>2708</v>
      </c>
      <c r="I175" s="88" t="s">
        <v>2709</v>
      </c>
      <c r="J175" s="89" t="s">
        <v>2710</v>
      </c>
      <c r="K175" s="89" t="s">
        <v>2711</v>
      </c>
      <c r="L175" s="89" t="s">
        <v>2683</v>
      </c>
      <c r="M175" s="118"/>
      <c r="N175" s="90">
        <v>1251</v>
      </c>
      <c r="O175" s="132"/>
      <c r="P175" s="90"/>
      <c r="Q175" s="133"/>
      <c r="R175" s="90"/>
      <c r="S175" s="130"/>
      <c r="T175" s="130"/>
      <c r="U175" s="128">
        <f t="shared" si="12"/>
        <v>27468.537599011703</v>
      </c>
      <c r="V175" s="92">
        <f t="shared" si="13"/>
        <v>34363140.536363639</v>
      </c>
      <c r="W175" s="92">
        <f t="shared" si="6"/>
        <v>3436314.0536363642</v>
      </c>
      <c r="X175" s="129">
        <v>37799454.590000004</v>
      </c>
      <c r="Y175" s="115"/>
    </row>
    <row r="176" spans="1:25" s="94" customFormat="1" ht="30" customHeight="1">
      <c r="A176" s="85">
        <v>166</v>
      </c>
      <c r="B176" s="155" t="s">
        <v>57</v>
      </c>
      <c r="C176" s="126" t="s">
        <v>43</v>
      </c>
      <c r="D176" s="127" t="s">
        <v>51</v>
      </c>
      <c r="E176" s="127" t="s">
        <v>48</v>
      </c>
      <c r="F176" s="124" t="s">
        <v>59</v>
      </c>
      <c r="G176" s="88">
        <v>46234</v>
      </c>
      <c r="H176" s="87" t="s">
        <v>2704</v>
      </c>
      <c r="I176" s="88" t="s">
        <v>2705</v>
      </c>
      <c r="J176" s="89" t="s">
        <v>2706</v>
      </c>
      <c r="K176" s="89" t="s">
        <v>2707</v>
      </c>
      <c r="L176" s="89" t="s">
        <v>2683</v>
      </c>
      <c r="M176" s="118"/>
      <c r="N176" s="90">
        <v>72</v>
      </c>
      <c r="O176" s="132"/>
      <c r="P176" s="90"/>
      <c r="Q176" s="133"/>
      <c r="R176" s="90"/>
      <c r="S176" s="130"/>
      <c r="T176" s="130"/>
      <c r="U176" s="128">
        <f t="shared" si="12"/>
        <v>27468.537626262623</v>
      </c>
      <c r="V176" s="92">
        <f t="shared" si="13"/>
        <v>1977734.709090909</v>
      </c>
      <c r="W176" s="92">
        <f t="shared" si="6"/>
        <v>197773.47090909092</v>
      </c>
      <c r="X176" s="129">
        <v>2175508.1800000002</v>
      </c>
      <c r="Y176" s="115"/>
    </row>
    <row r="177" spans="1:28" s="94" customFormat="1" ht="30" customHeight="1">
      <c r="A177" s="85">
        <v>167</v>
      </c>
      <c r="B177" s="86" t="s">
        <v>50</v>
      </c>
      <c r="C177" s="127" t="s">
        <v>43</v>
      </c>
      <c r="D177" s="127" t="s">
        <v>51</v>
      </c>
      <c r="E177" s="127" t="s">
        <v>48</v>
      </c>
      <c r="F177" s="117" t="s">
        <v>49</v>
      </c>
      <c r="G177" s="88">
        <v>46233</v>
      </c>
      <c r="H177" s="87" t="s">
        <v>2712</v>
      </c>
      <c r="I177" s="88" t="s">
        <v>2713</v>
      </c>
      <c r="J177" s="89" t="s">
        <v>2714</v>
      </c>
      <c r="K177" s="89" t="s">
        <v>2715</v>
      </c>
      <c r="L177" s="89" t="s">
        <v>2659</v>
      </c>
      <c r="M177" s="118" t="s">
        <v>2716</v>
      </c>
      <c r="N177" s="90">
        <v>64</v>
      </c>
      <c r="O177" s="91">
        <v>46232</v>
      </c>
      <c r="P177" s="90" t="s">
        <v>2661</v>
      </c>
      <c r="Q177" s="90">
        <v>80</v>
      </c>
      <c r="R177" s="90">
        <v>32600</v>
      </c>
      <c r="S177" s="90">
        <v>400</v>
      </c>
      <c r="T177" s="90">
        <f t="shared" ref="T177" si="19">+R177-S177</f>
        <v>32200</v>
      </c>
      <c r="U177" s="92">
        <f t="shared" ref="U177" si="20">+T177*0.909090909090909</f>
        <v>29272.727272727268</v>
      </c>
      <c r="V177" s="92">
        <f t="shared" ref="V177" si="21">+N177*T177*0.909090909090909</f>
        <v>1873454.5454545452</v>
      </c>
      <c r="W177" s="92">
        <f t="shared" ref="W177" si="22">+V177*10%</f>
        <v>187345.45454545453</v>
      </c>
      <c r="X177" s="93">
        <f t="shared" ref="X177" si="23">SUM(V177:W177)</f>
        <v>2060799.9999999998</v>
      </c>
      <c r="Y177" s="115"/>
    </row>
    <row r="178" spans="1:28" s="101" customFormat="1" ht="29" customHeight="1">
      <c r="A178" s="95"/>
      <c r="B178" s="96" t="s">
        <v>15</v>
      </c>
      <c r="C178" s="95"/>
      <c r="D178" s="95"/>
      <c r="E178" s="95"/>
      <c r="F178" s="95"/>
      <c r="G178" s="98"/>
      <c r="H178" s="95"/>
      <c r="I178" s="97"/>
      <c r="J178" s="97"/>
      <c r="K178" s="97"/>
      <c r="L178" s="97"/>
      <c r="M178" s="97"/>
      <c r="N178" s="99">
        <f>SUBTOTAL(9,N11:N177)</f>
        <v>3015333</v>
      </c>
      <c r="O178" s="100"/>
      <c r="P178" s="99"/>
      <c r="Q178" s="99"/>
      <c r="R178" s="99"/>
      <c r="S178" s="99"/>
      <c r="T178" s="99"/>
      <c r="U178" s="113"/>
      <c r="V178" s="113">
        <f>SUBTOTAL(9,V11:V177)</f>
        <v>67077605434.950035</v>
      </c>
      <c r="W178" s="113">
        <f>SUBTOTAL(9,W11:W177)</f>
        <v>6707760543.4949989</v>
      </c>
      <c r="X178" s="99">
        <f>V178+W178</f>
        <v>73785365978.445038</v>
      </c>
      <c r="Y178" s="66"/>
      <c r="Z178" s="66"/>
      <c r="AA178" s="66"/>
      <c r="AB178" s="66"/>
    </row>
    <row r="181" spans="1:28" ht="30" customHeight="1">
      <c r="Y181" s="72"/>
    </row>
    <row r="182" spans="1:28" ht="30" customHeight="1">
      <c r="B182" s="102" t="s">
        <v>16</v>
      </c>
      <c r="C182" s="80"/>
      <c r="D182" s="80"/>
      <c r="E182" s="103"/>
      <c r="F182" s="103"/>
      <c r="G182" s="104"/>
      <c r="H182" s="103"/>
      <c r="I182" s="103"/>
      <c r="J182" s="103"/>
      <c r="K182" s="103"/>
      <c r="L182" s="103" t="s">
        <v>28</v>
      </c>
      <c r="M182" s="103"/>
      <c r="N182" s="105">
        <v>22</v>
      </c>
      <c r="O182" s="106"/>
      <c r="P182" s="105"/>
      <c r="Q182" s="105"/>
      <c r="R182" s="105"/>
      <c r="S182" s="105"/>
      <c r="T182" s="105"/>
      <c r="U182" s="103" t="s">
        <v>46</v>
      </c>
      <c r="V182" s="103"/>
      <c r="W182" s="103"/>
      <c r="X182" s="107"/>
      <c r="Y182" s="70"/>
    </row>
    <row r="183" spans="1:28" ht="30" customHeight="1">
      <c r="G183" s="68"/>
      <c r="N183" s="68"/>
      <c r="O183" s="108"/>
      <c r="P183" s="68"/>
      <c r="Q183" s="68"/>
      <c r="R183" s="68"/>
      <c r="S183" s="68"/>
      <c r="T183" s="68"/>
      <c r="U183" s="114"/>
      <c r="V183" s="114"/>
      <c r="W183" s="114"/>
      <c r="X183" s="70"/>
    </row>
    <row r="190" spans="1:28" ht="30" customHeight="1">
      <c r="B190" s="275" t="s">
        <v>2737</v>
      </c>
      <c r="C190" s="276"/>
      <c r="D190" s="276"/>
      <c r="E190" s="276"/>
      <c r="F190" s="277"/>
    </row>
  </sheetData>
  <autoFilter ref="A9:X177" xr:uid="{EC4EE9C6-B516-A146-9B5A-3BE7E6D13B4C}">
    <sortState ref="A12:X177">
      <sortCondition ref="I9:I177"/>
    </sortState>
  </autoFilter>
  <mergeCells count="21">
    <mergeCell ref="L9:L10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V9:V10"/>
    <mergeCell ref="W9:W10"/>
    <mergeCell ref="X9:X10"/>
    <mergeCell ref="M9:M10"/>
    <mergeCell ref="N9:N10"/>
    <mergeCell ref="O9:R9"/>
    <mergeCell ref="S9:S10"/>
    <mergeCell ref="T9:T10"/>
    <mergeCell ref="U9:U10"/>
  </mergeCells>
  <phoneticPr fontId="3"/>
  <hyperlinks>
    <hyperlink ref="B11" r:id="rId1" location="id=4410&amp;model=res.partner" display="https://ntp-odoo.com/web - id=4410&amp;model=res.partner" xr:uid="{90A784EA-560F-1947-BF78-CD63B9DDDA78}"/>
    <hyperlink ref="B12" r:id="rId2" location="id=4410&amp;model=res.partner" display="https://ntp-odoo.com/web - id=4410&amp;model=res.partner" xr:uid="{DF8ACD1F-0DA8-0F48-9DE1-A78623D37172}"/>
    <hyperlink ref="B13" r:id="rId3" location="id=4410&amp;model=res.partner" display="https://ntp-odoo.com/web - id=4410&amp;model=res.partner" xr:uid="{93F2CDF3-964E-4A4C-9660-47F33DD17195}"/>
    <hyperlink ref="B14" r:id="rId4" location="id=4410&amp;model=res.partner" display="https://ntp-odoo.com/web - id=4410&amp;model=res.partner" xr:uid="{5A7426BC-43C0-A74E-8094-E5DE7EC01754}"/>
    <hyperlink ref="B15" r:id="rId5" location="id=4410&amp;model=res.partner" display="https://ntp-odoo.com/web - id=4410&amp;model=res.partner" xr:uid="{E91C0E24-F209-5943-9465-4902769C1C3E}"/>
    <hyperlink ref="B16" r:id="rId6" location="id=4410&amp;model=res.partner" display="https://ntp-odoo.com/web - id=4410&amp;model=res.partner" xr:uid="{E77FAF2C-21F1-6646-81FA-877EEE478490}"/>
    <hyperlink ref="B17" r:id="rId7" location="id=4410&amp;model=res.partner" display="https://ntp-odoo.com/web - id=4410&amp;model=res.partner" xr:uid="{81F704A4-CF84-6947-B1B7-598638F3C4BD}"/>
    <hyperlink ref="B18" r:id="rId8" location="id=4410&amp;model=res.partner" display="https://ntp-odoo.com/web - id=4410&amp;model=res.partner" xr:uid="{DC7DCDC4-CD26-BD4B-A0DF-00D4ED15D7B2}"/>
    <hyperlink ref="B19" r:id="rId9" location="id=4410&amp;model=res.partner" display="https://ntp-odoo.com/web - id=4410&amp;model=res.partner" xr:uid="{97BFD36B-5ABD-6740-956B-A593D41AFEF3}"/>
    <hyperlink ref="B21" r:id="rId10" location="id=4410&amp;model=res.partner" display="https://ntp-odoo.com/web - id=4410&amp;model=res.partner" xr:uid="{13152501-528E-244B-9658-C53C16712DF8}"/>
    <hyperlink ref="B20" r:id="rId11" location="id=4410&amp;model=res.partner" display="https://ntp-odoo.com/web - id=4410&amp;model=res.partner" xr:uid="{600FDB52-AFE7-254A-B338-C8CFDD013571}"/>
    <hyperlink ref="B22" r:id="rId12" location="id=4410&amp;model=res.partner" display="https://ntp-odoo.com/web - id=4410&amp;model=res.partner" xr:uid="{3EC69B3A-4615-1D4B-A0D1-D994FD951CEE}"/>
    <hyperlink ref="B23" r:id="rId13" location="id=4410&amp;model=res.partner" display="https://ntp-odoo.com/web - id=4410&amp;model=res.partner" xr:uid="{14174933-1EC9-C248-AFBF-FE6AB7AB8C05}"/>
    <hyperlink ref="B24" r:id="rId14" location="id=4410&amp;model=res.partner" display="https://ntp-odoo.com/web - id=4410&amp;model=res.partner" xr:uid="{B38689BE-22CF-6142-8B16-9C7EA9070505}"/>
    <hyperlink ref="B25" r:id="rId15" location="id=4410&amp;model=res.partner" display="https://ntp-odoo.com/web - id=4410&amp;model=res.partner" xr:uid="{67C255E0-C4B1-4840-8221-2C90A9C627CB}"/>
    <hyperlink ref="B26" r:id="rId16" location="id=3944&amp;model=res.partner" display="https://ntp-odoo.com/web - id=3944&amp;model=res.partner" xr:uid="{6E6F09B3-F76F-4D4C-A715-792B7B0CEE8B}"/>
    <hyperlink ref="B27" r:id="rId17" location="id=4410&amp;model=res.partner" display="https://ntp-odoo.com/web - id=4410&amp;model=res.partner" xr:uid="{0EE21671-C78F-A34E-BF78-DEB893911330}"/>
    <hyperlink ref="B28" r:id="rId18" location="id=4410&amp;model=res.partner" display="https://ntp-odoo.com/web - id=4410&amp;model=res.partner" xr:uid="{6CACEC24-6856-EF43-B53E-620080CC2949}"/>
    <hyperlink ref="B29" r:id="rId19" location="id=4410&amp;model=res.partner" display="https://ntp-odoo.com/web - id=4410&amp;model=res.partner" xr:uid="{F717D673-3C0B-414C-988D-536218B0C872}"/>
    <hyperlink ref="B30" r:id="rId20" location="id=4410&amp;model=res.partner" display="https://ntp-odoo.com/web - id=4410&amp;model=res.partner" xr:uid="{B0214C8B-0672-1A4E-B8CF-BCA1E09D8F65}"/>
    <hyperlink ref="B31" r:id="rId21" location="id=4410&amp;model=res.partner" display="https://ntp-odoo.com/web - id=4410&amp;model=res.partner" xr:uid="{3BDFCFC1-3F61-5847-B5B2-C463EAF2CD12}"/>
    <hyperlink ref="B32" r:id="rId22" location="id=4410&amp;model=res.partner" display="https://ntp-odoo.com/web - id=4410&amp;model=res.partner" xr:uid="{B7F7B348-F18A-A648-A250-399DDC438B50}"/>
    <hyperlink ref="B33" r:id="rId23" location="id=4410&amp;model=res.partner" display="https://ntp-odoo.com/web - id=4410&amp;model=res.partner" xr:uid="{6B1438FC-3E6E-7044-A2E2-B9833B5F166B}"/>
    <hyperlink ref="B34" r:id="rId24" location="id=4410&amp;model=res.partner" display="https://ntp-odoo.com/web - id=4410&amp;model=res.partner" xr:uid="{12E38AFE-CA28-C94D-91C1-EDF02423F958}"/>
    <hyperlink ref="B36" r:id="rId25" location="id=4410&amp;model=res.partner" display="https://ntp-odoo.com/web - id=4410&amp;model=res.partner" xr:uid="{BAB34D57-0D03-C54D-B52E-8E674E1CA059}"/>
    <hyperlink ref="B37" r:id="rId26" location="id=4410&amp;model=res.partner" display="https://ntp-odoo.com/web - id=4410&amp;model=res.partner" xr:uid="{90A29873-95CE-7941-A58C-D8D8472009D5}"/>
    <hyperlink ref="B38" r:id="rId27" location="id=4410&amp;model=res.partner" display="https://ntp-odoo.com/web - id=4410&amp;model=res.partner" xr:uid="{BF620F7C-B40A-BD40-9BA4-DF92577FFD58}"/>
    <hyperlink ref="B39" r:id="rId28" location="id=4410&amp;model=res.partner" display="https://ntp-odoo.com/web - id=4410&amp;model=res.partner" xr:uid="{790A4EE5-D07C-B845-8C2D-5CC992AE28C3}"/>
    <hyperlink ref="B40" r:id="rId29" location="id=4410&amp;model=res.partner" display="https://ntp-odoo.com/web - id=4410&amp;model=res.partner" xr:uid="{951472DD-4835-094D-A258-55E6DCCAEA22}"/>
    <hyperlink ref="B41" r:id="rId30" location="id=4410&amp;model=res.partner" display="https://ntp-odoo.com/web - id=4410&amp;model=res.partner" xr:uid="{9BBC9042-011B-124C-A996-94663AC130B2}"/>
    <hyperlink ref="B42" r:id="rId31" location="id=4410&amp;model=res.partner" display="https://ntp-odoo.com/web - id=4410&amp;model=res.partner" xr:uid="{25B78AFF-A77D-9544-922B-F9AA44A2C336}"/>
    <hyperlink ref="B43" r:id="rId32" location="id=4410&amp;model=res.partner" display="https://ntp-odoo.com/web - id=4410&amp;model=res.partner" xr:uid="{974F01E5-5D49-7848-BADD-2FBDB404C692}"/>
    <hyperlink ref="B44" r:id="rId33" location="id=4410&amp;model=res.partner" display="https://ntp-odoo.com/web - id=4410&amp;model=res.partner" xr:uid="{CBBCA38D-0847-2C4E-8A8F-5871AABF05BC}"/>
    <hyperlink ref="B45" r:id="rId34" location="id=4410&amp;model=res.partner" display="https://ntp-odoo.com/web - id=4410&amp;model=res.partner" xr:uid="{3E348F40-156B-9846-A64A-CFA2840A511C}"/>
    <hyperlink ref="B47" r:id="rId35" location="id=4410&amp;model=res.partner" display="https://ntp-odoo.com/web - id=4410&amp;model=res.partner" xr:uid="{7B164F4C-D8D7-7343-8016-3D8AE0277220}"/>
    <hyperlink ref="B49" r:id="rId36" location="id=4410&amp;model=res.partner" display="https://ntp-odoo.com/web - id=4410&amp;model=res.partner" xr:uid="{55374ED2-984E-BD45-BBDF-A371D4BE4FA5}"/>
    <hyperlink ref="B48" r:id="rId37" location="id=4410&amp;model=res.partner" display="https://ntp-odoo.com/web - id=4410&amp;model=res.partner" xr:uid="{E1BE0DE6-0BF5-2643-92E8-851F5271A1A4}"/>
    <hyperlink ref="B50" r:id="rId38" location="id=4410&amp;model=res.partner" display="https://ntp-odoo.com/web - id=4410&amp;model=res.partner" xr:uid="{17CAE498-E49F-CB44-9270-DD24D6B9A29B}"/>
    <hyperlink ref="B51" r:id="rId39" location="id=4410&amp;model=res.partner" display="https://ntp-odoo.com/web - id=4410&amp;model=res.partner" xr:uid="{F740FCC9-26CC-3F41-989C-17AB5FC74D90}"/>
    <hyperlink ref="B52" r:id="rId40" location="id=4410&amp;model=res.partner" display="https://ntp-odoo.com/web - id=4410&amp;model=res.partner" xr:uid="{D1F2FFE5-E023-9844-B54D-23AF8062D6E7}"/>
    <hyperlink ref="B53" r:id="rId41" location="id=4410&amp;model=res.partner" display="https://ntp-odoo.com/web - id=4410&amp;model=res.partner" xr:uid="{9EC35BD9-9D30-AB45-8C02-5E2161A02232}"/>
    <hyperlink ref="B54" r:id="rId42" location="id=4410&amp;model=res.partner" display="https://ntp-odoo.com/web - id=4410&amp;model=res.partner" xr:uid="{9CB3FF4F-698A-9F44-8F83-76BEABC75552}"/>
    <hyperlink ref="B55" r:id="rId43" location="id=4410&amp;model=res.partner" display="https://ntp-odoo.com/web - id=4410&amp;model=res.partner" xr:uid="{AD1BE155-B336-524E-8153-3A6E8BA84C41}"/>
    <hyperlink ref="B56" r:id="rId44" location="id=4410&amp;model=res.partner" display="https://ntp-odoo.com/web - id=4410&amp;model=res.partner" xr:uid="{6CA40292-442B-CD4A-B8D1-FAC70A76012B}"/>
    <hyperlink ref="B57" r:id="rId45" location="id=4410&amp;model=res.partner" display="https://ntp-odoo.com/web - id=4410&amp;model=res.partner" xr:uid="{861D7F5C-209E-8647-8B0F-CE7FE55F49F6}"/>
    <hyperlink ref="B58" r:id="rId46" location="id=4410&amp;model=res.partner" display="https://ntp-odoo.com/web - id=4410&amp;model=res.partner" xr:uid="{A97017F7-75B2-2849-93EB-771A3B4AD6F5}"/>
    <hyperlink ref="B59" r:id="rId47" location="id=4410&amp;model=res.partner" display="https://ntp-odoo.com/web - id=4410&amp;model=res.partner" xr:uid="{9DECB54F-689E-CF4B-A3B8-95404344FCE5}"/>
    <hyperlink ref="B60" r:id="rId48" location="id=4410&amp;model=res.partner" display="https://ntp-odoo.com/web - id=4410&amp;model=res.partner" xr:uid="{167CCC89-F62D-984A-8F90-C14603A912F6}"/>
    <hyperlink ref="B61" r:id="rId49" location="id=4410&amp;model=res.partner" display="https://ntp-odoo.com/web - id=4410&amp;model=res.partner" xr:uid="{02EAE28F-49FF-8E48-ACDA-577096245DEE}"/>
    <hyperlink ref="B62" r:id="rId50" location="id=4410&amp;model=res.partner" display="https://ntp-odoo.com/web - id=4410&amp;model=res.partner" xr:uid="{75027099-DF92-684F-BFA4-9D0AB0E3D1FB}"/>
    <hyperlink ref="B63" r:id="rId51" location="id=4410&amp;model=res.partner" display="https://ntp-odoo.com/web - id=4410&amp;model=res.partner" xr:uid="{2949A837-70CD-F347-BC44-88BDE4F607DF}"/>
    <hyperlink ref="B65" r:id="rId52" location="id=4410&amp;model=res.partner" display="https://ntp-odoo.com/web - id=4410&amp;model=res.partner" xr:uid="{88F718D5-02A3-AB4D-8657-59DD17885C5A}"/>
    <hyperlink ref="B64" r:id="rId53" location="id=4410&amp;model=res.partner" display="https://ntp-odoo.com/web - id=4410&amp;model=res.partner" xr:uid="{2B904AE0-1511-6044-B738-860BAC6467F1}"/>
    <hyperlink ref="B66" r:id="rId54" location="id=4410&amp;model=res.partner" display="https://ntp-odoo.com/web - id=4410&amp;model=res.partner" xr:uid="{6020330A-D537-854A-A317-3B754374CED9}"/>
    <hyperlink ref="B67" r:id="rId55" location="id=4410&amp;model=res.partner" display="https://ntp-odoo.com/web - id=4410&amp;model=res.partner" xr:uid="{7BF3F1C8-4044-AD44-A83A-C374BE5E22AB}"/>
    <hyperlink ref="B68" r:id="rId56" location="id=4410&amp;model=res.partner" display="https://ntp-odoo.com/web - id=4410&amp;model=res.partner" xr:uid="{72E32722-EA6A-9F4D-9442-D354B20532C0}"/>
    <hyperlink ref="B35" r:id="rId57" location="id=4410&amp;model=res.partner" display="https://ntp-odoo.com/web - id=4410&amp;model=res.partner" xr:uid="{2C34AC46-FB59-2B4F-BF3F-C3DA17F2E54E}"/>
    <hyperlink ref="B72" r:id="rId58" location="id=4410&amp;model=res.partner" display="https://ntp-odoo.com/web - id=4410&amp;model=res.partner" xr:uid="{D54B062D-C00D-9F4F-B327-58A70919F24D}"/>
    <hyperlink ref="B73" r:id="rId59" location="id=4410&amp;model=res.partner" display="https://ntp-odoo.com/web - id=4410&amp;model=res.partner" xr:uid="{F04308A1-C931-6843-99DD-F2A508D7886C}"/>
    <hyperlink ref="B74" r:id="rId60" location="id=4410&amp;model=res.partner" display="https://ntp-odoo.com/web - id=4410&amp;model=res.partner" xr:uid="{697F238B-020A-244C-8573-A92441BFE7DC}"/>
    <hyperlink ref="B75" r:id="rId61" location="id=4410&amp;model=res.partner" display="https://ntp-odoo.com/web - id=4410&amp;model=res.partner" xr:uid="{0EDE7F0F-30BA-F544-A30B-EEEC0A1F508E}"/>
    <hyperlink ref="B76" r:id="rId62" location="id=4410&amp;model=res.partner" display="https://ntp-odoo.com/web - id=4410&amp;model=res.partner" xr:uid="{D78C0C3E-25E1-0947-8212-4BD777D894A9}"/>
    <hyperlink ref="B77" r:id="rId63" location="id=4410&amp;model=res.partner" display="https://ntp-odoo.com/web - id=4410&amp;model=res.partner" xr:uid="{954FAB83-4DF6-E642-B667-26C4B820D5ED}"/>
    <hyperlink ref="B78" r:id="rId64" location="id=4410&amp;model=res.partner" display="https://ntp-odoo.com/web - id=4410&amp;model=res.partner" xr:uid="{09E58939-9352-9847-A452-CC0056B27148}"/>
    <hyperlink ref="B79" r:id="rId65" location="id=4410&amp;model=res.partner" display="https://ntp-odoo.com/web - id=4410&amp;model=res.partner" xr:uid="{63EF9187-B032-304C-9554-9F67EAD32C50}"/>
    <hyperlink ref="B81" r:id="rId66" location="id=4410&amp;model=res.partner" display="https://ntp-odoo.com/web - id=4410&amp;model=res.partner" xr:uid="{488DC4A9-69EB-7D44-B4DE-72997F788CB5}"/>
    <hyperlink ref="B83" r:id="rId67" location="id=4410&amp;model=res.partner" display="https://ntp-odoo.com/web - id=4410&amp;model=res.partner" xr:uid="{E5A7DB15-851A-3346-819D-B10FCE34CC8D}"/>
    <hyperlink ref="B80" r:id="rId68" location="id=4410&amp;model=res.partner" display="https://ntp-odoo.com/web - id=4410&amp;model=res.partner" xr:uid="{ED5AA853-D0BE-3741-944D-C7DE751B11DA}"/>
    <hyperlink ref="B82" r:id="rId69" location="id=4410&amp;model=res.partner" display="https://ntp-odoo.com/web - id=4410&amp;model=res.partner" xr:uid="{BBBBACA5-EF21-9A4D-9DDF-D8E7AE696282}"/>
    <hyperlink ref="B84" r:id="rId70" location="id=4410&amp;model=res.partner" display="https://ntp-odoo.com/web - id=4410&amp;model=res.partner" xr:uid="{13A73D9A-50B1-9E44-AAD8-A919F25FBAAA}"/>
    <hyperlink ref="B85" r:id="rId71" location="id=4410&amp;model=res.partner" display="https://ntp-odoo.com/web - id=4410&amp;model=res.partner" xr:uid="{EDD5CC96-3C97-0B4D-81A4-F40A62832DD2}"/>
    <hyperlink ref="B86" r:id="rId72" location="id=4410&amp;model=res.partner" display="https://ntp-odoo.com/web - id=4410&amp;model=res.partner" xr:uid="{ACF332C1-3EBC-A749-8B66-351804CAF3E3}"/>
    <hyperlink ref="B88" r:id="rId73" location="id=4410&amp;model=res.partner" display="https://ntp-odoo.com/web - id=4410&amp;model=res.partner" xr:uid="{11F566D1-B9EB-0240-90BB-738049DAA8CF}"/>
    <hyperlink ref="B90" r:id="rId74" location="id=4410&amp;model=res.partner" display="https://ntp-odoo.com/web - id=4410&amp;model=res.partner" xr:uid="{01F55879-A264-E741-ADBF-C81AE4A51A7E}"/>
    <hyperlink ref="B87" r:id="rId75" location="id=4410&amp;model=res.partner" display="https://ntp-odoo.com/web - id=4410&amp;model=res.partner" xr:uid="{4AAEA5FF-0C7E-6B4F-87ED-12BB9E67FEE6}"/>
    <hyperlink ref="B89" r:id="rId76" location="id=4410&amp;model=res.partner" display="https://ntp-odoo.com/web - id=4410&amp;model=res.partner" xr:uid="{B8C06959-9941-A441-BB56-D107FF18669F}"/>
    <hyperlink ref="B91" r:id="rId77" location="id=4410&amp;model=res.partner" display="https://ntp-odoo.com/web - id=4410&amp;model=res.partner" xr:uid="{216DA1BC-090B-D94C-B01F-73735007515C}"/>
    <hyperlink ref="B92" r:id="rId78" location="id=4410&amp;model=res.partner" display="https://ntp-odoo.com/web - id=4410&amp;model=res.partner" xr:uid="{1DE64A69-A71F-6348-B692-AB468E4662F7}"/>
    <hyperlink ref="B94" r:id="rId79" location="id=4410&amp;model=res.partner" display="https://ntp-odoo.com/web - id=4410&amp;model=res.partner" xr:uid="{D7B6BF6D-D660-244B-8673-2E2ABC1E8BF5}"/>
    <hyperlink ref="B93" r:id="rId80" location="id=4410&amp;model=res.partner" display="https://ntp-odoo.com/web - id=4410&amp;model=res.partner" xr:uid="{3C9B98AB-88E6-3B46-8613-9BFD558A167F}"/>
    <hyperlink ref="B95" r:id="rId81" location="id=4410&amp;model=res.partner" display="https://ntp-odoo.com/web - id=4410&amp;model=res.partner" xr:uid="{5680A7E6-0466-8640-93A7-2A6635799E80}"/>
    <hyperlink ref="B96" r:id="rId82" location="id=4410&amp;model=res.partner" display="https://ntp-odoo.com/web - id=4410&amp;model=res.partner" xr:uid="{1DA9D68A-0C51-7946-9D36-61C4BDA04C05}"/>
    <hyperlink ref="B97" r:id="rId83" location="id=4410&amp;model=res.partner" display="https://ntp-odoo.com/web - id=4410&amp;model=res.partner" xr:uid="{39A331A0-2047-814B-990B-F7092895F5A1}"/>
    <hyperlink ref="B98" r:id="rId84" location="id=4410&amp;model=res.partner" display="https://ntp-odoo.com/web - id=4410&amp;model=res.partner" xr:uid="{821D9BCE-8870-3C4D-A37F-49D1B8E90534}"/>
    <hyperlink ref="B99" r:id="rId85" location="id=4410&amp;model=res.partner" display="https://ntp-odoo.com/web - id=4410&amp;model=res.partner" xr:uid="{7F8EB623-2FA6-944A-B4B7-214249E785B4}"/>
    <hyperlink ref="B100" r:id="rId86" location="id=4410&amp;model=res.partner" display="https://ntp-odoo.com/web - id=4410&amp;model=res.partner" xr:uid="{32DA654D-A471-1A45-B201-5652CEF065B9}"/>
    <hyperlink ref="B101" r:id="rId87" location="id=4410&amp;model=res.partner" display="https://ntp-odoo.com/web - id=4410&amp;model=res.partner" xr:uid="{28D176F5-AB04-1843-A278-E7224CEC08F3}"/>
    <hyperlink ref="B102" r:id="rId88" location="id=4410&amp;model=res.partner" display="https://ntp-odoo.com/web - id=4410&amp;model=res.partner" xr:uid="{D6CB654E-2473-674A-B00B-7E5CDADE4F09}"/>
    <hyperlink ref="B103" r:id="rId89" location="id=4410&amp;model=res.partner" display="https://ntp-odoo.com/web - id=4410&amp;model=res.partner" xr:uid="{F3F40CE8-6061-8B4D-9282-E2D7F3BD07A1}"/>
    <hyperlink ref="B104" r:id="rId90" location="id=4410&amp;model=res.partner" display="https://ntp-odoo.com/web - id=4410&amp;model=res.partner" xr:uid="{1D128062-770E-6B4B-BE4F-015E8BE112DF}"/>
    <hyperlink ref="B106" r:id="rId91" location="id=3944&amp;model=res.partner" display="https://ntp-odoo.com/web - id=3944&amp;model=res.partner" xr:uid="{6D7BE342-2E2C-584B-A5F7-7D0754E13DA6}"/>
    <hyperlink ref="B108" r:id="rId92" location="id=4410&amp;model=res.partner" display="https://ntp-odoo.com/web - id=4410&amp;model=res.partner" xr:uid="{288E0804-748A-5542-8965-DF57CC259900}"/>
    <hyperlink ref="B109" r:id="rId93" location="id=4410&amp;model=res.partner" display="https://ntp-odoo.com/web - id=4410&amp;model=res.partner" xr:uid="{E1DE6B4D-2386-E642-A41A-5FB468CAD0F6}"/>
    <hyperlink ref="B110" r:id="rId94" location="id=4410&amp;model=res.partner" display="https://ntp-odoo.com/web - id=4410&amp;model=res.partner" xr:uid="{85183FD8-EB8B-044C-87D2-F9683F1A41DB}"/>
    <hyperlink ref="B111" r:id="rId95" location="id=4410&amp;model=res.partner" display="https://ntp-odoo.com/web - id=4410&amp;model=res.partner" xr:uid="{72F50AD7-A521-E345-BAD3-CC07A2032E31}"/>
    <hyperlink ref="B112" r:id="rId96" location="id=4410&amp;model=res.partner" display="https://ntp-odoo.com/web - id=4410&amp;model=res.partner" xr:uid="{983D3E54-808F-4F40-926C-7EF07E1C8C7D}"/>
    <hyperlink ref="B113" r:id="rId97" location="id=4410&amp;model=res.partner" display="https://ntp-odoo.com/web - id=4410&amp;model=res.partner" xr:uid="{9C602DD3-269B-5D4B-80B2-B1C81FFB3BF8}"/>
    <hyperlink ref="B114" r:id="rId98" location="id=4410&amp;model=res.partner" display="https://ntp-odoo.com/web - id=4410&amp;model=res.partner" xr:uid="{FC90E24E-7A8D-E240-9F74-BB5D149AC0E5}"/>
    <hyperlink ref="B115" r:id="rId99" location="id=4410&amp;model=res.partner" display="https://ntp-odoo.com/web - id=4410&amp;model=res.partner" xr:uid="{938212F1-E9D0-C640-8454-7EB9A77BF7C1}"/>
    <hyperlink ref="B116" r:id="rId100" location="id=4410&amp;model=res.partner" display="https://ntp-odoo.com/web - id=4410&amp;model=res.partner" xr:uid="{836B6ED3-599F-BC48-B39D-2BB0B714A5B6}"/>
    <hyperlink ref="B117" r:id="rId101" location="id=4410&amp;model=res.partner" display="https://ntp-odoo.com/web - id=4410&amp;model=res.partner" xr:uid="{9AF881D7-CA93-8C48-A13E-C23444A9DB85}"/>
    <hyperlink ref="B118" r:id="rId102" location="id=4410&amp;model=res.partner" display="https://ntp-odoo.com/web - id=4410&amp;model=res.partner" xr:uid="{C2BF113D-7D4F-DE44-AB76-637DE5B7BC88}"/>
    <hyperlink ref="B119" r:id="rId103" location="id=4410&amp;model=res.partner" display="https://ntp-odoo.com/web - id=4410&amp;model=res.partner" xr:uid="{100860B3-D97B-F642-B3A3-2CA89C6C4A2A}"/>
    <hyperlink ref="B120" r:id="rId104" location="id=4410&amp;model=res.partner" display="https://ntp-odoo.com/web - id=4410&amp;model=res.partner" xr:uid="{BC68281B-92F4-844C-86FA-8AA1AAC3F500}"/>
    <hyperlink ref="B121" r:id="rId105" location="id=4410&amp;model=res.partner" display="https://ntp-odoo.com/web - id=4410&amp;model=res.partner" xr:uid="{2A8C43D2-804A-9648-ABEA-571ECD122C0D}"/>
    <hyperlink ref="B123" r:id="rId106" location="id=4410&amp;model=res.partner" display="https://ntp-odoo.com/web - id=4410&amp;model=res.partner" xr:uid="{0903ADF7-EB89-F34C-8484-9E339D755FD2}"/>
    <hyperlink ref="B124" r:id="rId107" location="id=4410&amp;model=res.partner" display="https://ntp-odoo.com/web - id=4410&amp;model=res.partner" xr:uid="{BC954D61-5CEF-3840-8CF0-7AE67582C440}"/>
    <hyperlink ref="B125" r:id="rId108" location="id=4410&amp;model=res.partner" display="https://ntp-odoo.com/web - id=4410&amp;model=res.partner" xr:uid="{9133AC9C-8EC8-F949-8234-F7A05910919F}"/>
    <hyperlink ref="B126" r:id="rId109" location="id=4410&amp;model=res.partner" display="https://ntp-odoo.com/web - id=4410&amp;model=res.partner" xr:uid="{4A44BAA6-D4D1-C64E-87B0-8AC187F58471}"/>
    <hyperlink ref="B127" r:id="rId110" location="id=4410&amp;model=res.partner" display="https://ntp-odoo.com/web - id=4410&amp;model=res.partner" xr:uid="{E89DE6AF-A753-184F-B491-A808B8B64436}"/>
    <hyperlink ref="B128" r:id="rId111" location="id=4410&amp;model=res.partner" display="https://ntp-odoo.com/web - id=4410&amp;model=res.partner" xr:uid="{466BE2E5-72D2-E34E-8B20-9359D33002B0}"/>
    <hyperlink ref="B129" r:id="rId112" location="id=4410&amp;model=res.partner" display="https://ntp-odoo.com/web - id=4410&amp;model=res.partner" xr:uid="{CDB40B57-87E8-7B42-BA9D-9FBA340746FD}"/>
    <hyperlink ref="B130" r:id="rId113" location="id=4410&amp;model=res.partner" display="https://ntp-odoo.com/web - id=4410&amp;model=res.partner" xr:uid="{5F6AF617-0183-A84C-94C9-5293B4108EB8}"/>
    <hyperlink ref="B131" r:id="rId114" location="id=4410&amp;model=res.partner" display="https://ntp-odoo.com/web - id=4410&amp;model=res.partner" xr:uid="{590C2AFD-175C-8849-8FE7-8C27BE8D4D29}"/>
    <hyperlink ref="B132" r:id="rId115" location="id=4410&amp;model=res.partner" display="https://ntp-odoo.com/web - id=4410&amp;model=res.partner" xr:uid="{67BC1CA5-244E-6C4D-9039-3B3F731719D1}"/>
    <hyperlink ref="B133" r:id="rId116" location="id=4410&amp;model=res.partner" display="https://ntp-odoo.com/web - id=4410&amp;model=res.partner" xr:uid="{522FF589-A7D2-D24F-9371-4AA29F20AE89}"/>
    <hyperlink ref="B134" r:id="rId117" location="id=4410&amp;model=res.partner" display="https://ntp-odoo.com/web - id=4410&amp;model=res.partner" xr:uid="{35C1FE92-DCB1-4F41-ABB4-5C3CD5F5DD3D}"/>
    <hyperlink ref="B135" r:id="rId118" location="id=4410&amp;model=res.partner" display="https://ntp-odoo.com/web - id=4410&amp;model=res.partner" xr:uid="{81C2EC0B-0A16-9B4D-9854-9965CABC8AE0}"/>
    <hyperlink ref="B136" r:id="rId119" location="id=4410&amp;model=res.partner" display="https://ntp-odoo.com/web - id=4410&amp;model=res.partner" xr:uid="{65EF11F3-E6B3-044D-B5C9-D5B743066D8B}"/>
    <hyperlink ref="B137" r:id="rId120" location="id=4410&amp;model=res.partner" display="https://ntp-odoo.com/web - id=4410&amp;model=res.partner" xr:uid="{E0218B4C-01A2-2A4A-B079-5E0ADC64BC9D}"/>
    <hyperlink ref="B139" r:id="rId121" location="id=4410&amp;model=res.partner" display="https://ntp-odoo.com/web - id=4410&amp;model=res.partner" xr:uid="{FD200DA6-8483-EE4B-8D46-246DD69C65B9}"/>
    <hyperlink ref="B141" r:id="rId122" location="id=3944&amp;model=res.partner" display="https://ntp-odoo.com/web - id=3944&amp;model=res.partner" xr:uid="{9D3C92DA-E407-A44B-A55D-8FE171505D8D}"/>
    <hyperlink ref="B142" r:id="rId123" location="id=4410&amp;model=res.partner" display="https://ntp-odoo.com/web - id=4410&amp;model=res.partner" xr:uid="{27C416A8-AA32-9947-838C-4F8E0DB98BA3}"/>
    <hyperlink ref="B143" r:id="rId124" location="id=4410&amp;model=res.partner" display="https://ntp-odoo.com/web - id=4410&amp;model=res.partner" xr:uid="{7BD72672-6B0C-824B-800C-C05305F8D6A5}"/>
    <hyperlink ref="B144" r:id="rId125" location="id=4410&amp;model=res.partner" display="https://ntp-odoo.com/web - id=4410&amp;model=res.partner" xr:uid="{5ADC4202-5FB9-5B4C-909F-EDB1917BA5A8}"/>
    <hyperlink ref="B145" r:id="rId126" location="id=4410&amp;model=res.partner" display="https://ntp-odoo.com/web - id=4410&amp;model=res.partner" xr:uid="{8662D69D-F3FB-734B-88B2-B3255BD75517}"/>
    <hyperlink ref="B146" r:id="rId127" location="id=4410&amp;model=res.partner" display="https://ntp-odoo.com/web - id=4410&amp;model=res.partner" xr:uid="{1ACD33ED-129B-D442-894F-6C20A481E35E}"/>
    <hyperlink ref="B147" r:id="rId128" location="id=4410&amp;model=res.partner" display="https://ntp-odoo.com/web - id=4410&amp;model=res.partner" xr:uid="{AC19ED48-3391-B345-8D55-00B6C4B19016}"/>
    <hyperlink ref="B148" r:id="rId129" location="id=4410&amp;model=res.partner" display="https://ntp-odoo.com/web - id=4410&amp;model=res.partner" xr:uid="{87EE87C3-1A5F-0B44-B91F-1E994D8B1B28}"/>
    <hyperlink ref="B149" r:id="rId130" location="id=4410&amp;model=res.partner" display="https://ntp-odoo.com/web - id=4410&amp;model=res.partner" xr:uid="{091C0B7D-0A2F-0440-9388-3CF914278EE1}"/>
    <hyperlink ref="B150" r:id="rId131" location="id=4410&amp;model=res.partner" display="https://ntp-odoo.com/web - id=4410&amp;model=res.partner" xr:uid="{FA638280-2AEF-954E-A128-9277F6064BE2}"/>
    <hyperlink ref="B151" r:id="rId132" location="id=4410&amp;model=res.partner" display="https://ntp-odoo.com/web - id=4410&amp;model=res.partner" xr:uid="{BBAED9EC-707D-6A4F-8DBA-F3ADEBB24E22}"/>
    <hyperlink ref="B152" r:id="rId133" location="id=4410&amp;model=res.partner" display="https://ntp-odoo.com/web - id=4410&amp;model=res.partner" xr:uid="{78C86856-FB09-F045-B3EE-3A0C071D9FE2}"/>
    <hyperlink ref="B153" r:id="rId134" location="id=4410&amp;model=res.partner" display="https://ntp-odoo.com/web - id=4410&amp;model=res.partner" xr:uid="{5F291FA1-8A37-CC47-AA20-D645CB0AD9BA}"/>
    <hyperlink ref="B154" r:id="rId135" location="id=4410&amp;model=res.partner" display="https://ntp-odoo.com/web - id=4410&amp;model=res.partner" xr:uid="{ECF7DA10-D9F8-5348-94D8-1ED4E754552E}"/>
    <hyperlink ref="B155" r:id="rId136" location="id=4410&amp;model=res.partner" display="https://ntp-odoo.com/web - id=4410&amp;model=res.partner" xr:uid="{856A39A9-90A8-2341-8AB6-4F51DF35A498}"/>
    <hyperlink ref="B156" r:id="rId137" location="id=4410&amp;model=res.partner" display="https://ntp-odoo.com/web - id=4410&amp;model=res.partner" xr:uid="{A72B20BF-C3A9-F141-ABB8-CF5511982840}"/>
    <hyperlink ref="B157" r:id="rId138" location="id=4410&amp;model=res.partner" display="https://ntp-odoo.com/web - id=4410&amp;model=res.partner" xr:uid="{28D45F00-D19A-FC44-BA08-E7BC408B7FF7}"/>
    <hyperlink ref="B158" r:id="rId139" location="id=4410&amp;model=res.partner" display="https://ntp-odoo.com/web - id=4410&amp;model=res.partner" xr:uid="{E83EC12C-4688-0A4E-BB2D-68CC379D87B9}"/>
    <hyperlink ref="B159" r:id="rId140" location="id=4410&amp;model=res.partner" display="https://ntp-odoo.com/web - id=4410&amp;model=res.partner" xr:uid="{BC0A5511-AB6C-3D4C-9CDF-4738B45B97B7}"/>
    <hyperlink ref="B160" r:id="rId141" location="id=4410&amp;model=res.partner" display="https://ntp-odoo.com/web - id=4410&amp;model=res.partner" xr:uid="{ACB1613A-B8F2-C24F-AAC4-0EF4EB9B57DF}"/>
    <hyperlink ref="B161" r:id="rId142" location="id=4410&amp;model=res.partner" display="https://ntp-odoo.com/web - id=4410&amp;model=res.partner" xr:uid="{8434DA33-3CFE-A142-BFFA-02A466A1CDE0}"/>
    <hyperlink ref="B162" r:id="rId143" location="id=4410&amp;model=res.partner" display="https://ntp-odoo.com/web - id=4410&amp;model=res.partner" xr:uid="{5571C288-5E5D-D444-94C1-31F0C099B25C}"/>
    <hyperlink ref="B163" r:id="rId144" location="id=4410&amp;model=res.partner" display="https://ntp-odoo.com/web - id=4410&amp;model=res.partner" xr:uid="{744388A0-A502-AA42-B792-05F3B340174C}"/>
    <hyperlink ref="B164" r:id="rId145" location="id=4410&amp;model=res.partner" display="https://ntp-odoo.com/web - id=4410&amp;model=res.partner" xr:uid="{D07821AD-3C6F-674C-A270-37C40869E978}"/>
    <hyperlink ref="B165" r:id="rId146" location="id=4410&amp;model=res.partner" display="https://ntp-odoo.com/web - id=4410&amp;model=res.partner" xr:uid="{4E9FAF7F-0A4D-AE40-8382-9BB0399421C6}"/>
    <hyperlink ref="B166" r:id="rId147" location="id=4410&amp;model=res.partner" display="https://ntp-odoo.com/web - id=4410&amp;model=res.partner" xr:uid="{050CB42A-D13C-1145-B075-EBDD05593B6C}"/>
    <hyperlink ref="B168" r:id="rId148" location="id=4410&amp;model=res.partner" display="https://ntp-odoo.com/web - id=4410&amp;model=res.partner" xr:uid="{7FA07E8E-3367-6247-B096-855DA5FB3869}"/>
    <hyperlink ref="B170" r:id="rId149" location="id=4410&amp;model=res.partner" display="https://ntp-odoo.com/web - id=4410&amp;model=res.partner" xr:uid="{2918CF47-6209-4148-8E2E-4ED564BEB4CB}"/>
    <hyperlink ref="B172" r:id="rId150" location="id=4410&amp;model=res.partner" display="https://ntp-odoo.com/web - id=4410&amp;model=res.partner" xr:uid="{28661D91-D6D8-6046-8713-A13710B66B82}"/>
    <hyperlink ref="B173" r:id="rId151" location="id=4410&amp;model=res.partner" display="https://ntp-odoo.com/web - id=4410&amp;model=res.partner" xr:uid="{A18303A0-C97C-6D4A-B4EC-497C4FB55FB8}"/>
    <hyperlink ref="B174" r:id="rId152" location="id=4410&amp;model=res.partner" display="https://ntp-odoo.com/web - id=4410&amp;model=res.partner" xr:uid="{2DE58003-2B13-B245-A9C1-EF3406B21A36}"/>
    <hyperlink ref="B176" r:id="rId153" location="id=4410&amp;model=res.partner" display="https://ntp-odoo.com/web - id=4410&amp;model=res.partner" xr:uid="{9A007A45-F4EF-AB48-B108-BCC6E97D8EF6}"/>
    <hyperlink ref="B175" r:id="rId154" location="id=4410&amp;model=res.partner" display="https://ntp-odoo.com/web - id=4410&amp;model=res.partner" xr:uid="{1205ADC1-FAF4-144B-8ED7-0B05CB509A33}"/>
    <hyperlink ref="B46" r:id="rId155" location="id=4410&amp;model=res.partner" display="https://ntp-odoo.com/web - id=4410&amp;model=res.partner" xr:uid="{0F08638A-3E47-1C4F-BF7F-39A993C38224}"/>
  </hyperlinks>
  <printOptions horizontalCentered="1"/>
  <pageMargins left="0.25" right="0.25" top="1" bottom="0.75" header="0.3" footer="0"/>
  <pageSetup paperSize="9" scale="24" fitToHeight="15" pageOrder="overThenDown" orientation="portrait" verticalDpi="300"/>
  <drawing r:id="rId15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9A7DB-2777-7846-9AB7-E8D47B0D4390}">
  <sheetPr>
    <tabColor rgb="FF92D050"/>
    <pageSetUpPr fitToPage="1"/>
  </sheetPr>
  <dimension ref="A12:U86"/>
  <sheetViews>
    <sheetView showGridLines="0" zoomScale="40" zoomScaleNormal="40" zoomScaleSheetLayoutView="40" workbookViewId="0">
      <pane ySplit="16" topLeftCell="A59" activePane="bottomLeft" state="frozen"/>
      <selection activeCell="Y483" sqref="Y483"/>
      <selection pane="bottomLeft" activeCell="B17" sqref="B17:B68"/>
    </sheetView>
  </sheetViews>
  <sheetFormatPr baseColWidth="10" defaultColWidth="11.5" defaultRowHeight="38" customHeight="1"/>
  <cols>
    <col min="1" max="1" width="4" style="1" customWidth="1"/>
    <col min="2" max="2" width="15.5" style="1" customWidth="1"/>
    <col min="3" max="3" width="111.6640625" style="28" customWidth="1"/>
    <col min="4" max="4" width="157.83203125" style="28" customWidth="1"/>
    <col min="5" max="5" width="34.1640625" style="11" customWidth="1"/>
    <col min="6" max="6" width="29.1640625" style="11" customWidth="1"/>
    <col min="7" max="7" width="26.83203125" style="11" customWidth="1"/>
    <col min="8" max="8" width="27.6640625" style="10" customWidth="1"/>
    <col min="9" max="9" width="31.1640625" style="11" customWidth="1"/>
    <col min="10" max="10" width="21" style="11" customWidth="1"/>
    <col min="11" max="12" width="19.6640625" style="11" customWidth="1"/>
    <col min="13" max="14" width="26.83203125" style="11" customWidth="1"/>
    <col min="15" max="15" width="42.33203125" style="7" bestFit="1" customWidth="1"/>
    <col min="16" max="16" width="26.83203125" style="11" customWidth="1"/>
    <col min="17" max="17" width="38" style="33" customWidth="1"/>
    <col min="18" max="18" width="47.33203125" style="12" bestFit="1" customWidth="1"/>
    <col min="19" max="19" width="52.33203125" style="13" bestFit="1" customWidth="1"/>
    <col min="20" max="20" width="47" style="13" customWidth="1"/>
    <col min="21" max="21" width="60.5" style="1" customWidth="1"/>
    <col min="22" max="22" width="28.5" style="1" bestFit="1" customWidth="1"/>
    <col min="23" max="253" width="11.5" style="1"/>
    <col min="254" max="254" width="4.6640625" style="1" customWidth="1"/>
    <col min="255" max="255" width="10.1640625" style="1" customWidth="1"/>
    <col min="256" max="256" width="51.1640625" style="1" customWidth="1"/>
    <col min="257" max="260" width="17.6640625" style="1" customWidth="1"/>
    <col min="261" max="263" width="17.83203125" style="1" customWidth="1"/>
    <col min="264" max="264" width="0" style="1" hidden="1" customWidth="1"/>
    <col min="265" max="265" width="17.83203125" style="1" customWidth="1"/>
    <col min="266" max="266" width="22.83203125" style="1" customWidth="1"/>
    <col min="267" max="269" width="17.83203125" style="1" customWidth="1"/>
    <col min="270" max="270" width="15.6640625" style="1" customWidth="1"/>
    <col min="271" max="271" width="22.33203125" style="1" customWidth="1"/>
    <col min="272" max="274" width="17.83203125" style="1" customWidth="1"/>
    <col min="275" max="275" width="22.6640625" style="1" customWidth="1"/>
    <col min="276" max="276" width="20.33203125" style="1" customWidth="1"/>
    <col min="277" max="277" width="8.33203125" style="1" customWidth="1"/>
    <col min="278" max="278" width="28.5" style="1" bestFit="1" customWidth="1"/>
    <col min="279" max="509" width="11.5" style="1"/>
    <col min="510" max="510" width="4.6640625" style="1" customWidth="1"/>
    <col min="511" max="511" width="10.1640625" style="1" customWidth="1"/>
    <col min="512" max="512" width="51.1640625" style="1" customWidth="1"/>
    <col min="513" max="516" width="17.6640625" style="1" customWidth="1"/>
    <col min="517" max="519" width="17.83203125" style="1" customWidth="1"/>
    <col min="520" max="520" width="0" style="1" hidden="1" customWidth="1"/>
    <col min="521" max="521" width="17.83203125" style="1" customWidth="1"/>
    <col min="522" max="522" width="22.83203125" style="1" customWidth="1"/>
    <col min="523" max="525" width="17.83203125" style="1" customWidth="1"/>
    <col min="526" max="526" width="15.6640625" style="1" customWidth="1"/>
    <col min="527" max="527" width="22.33203125" style="1" customWidth="1"/>
    <col min="528" max="530" width="17.83203125" style="1" customWidth="1"/>
    <col min="531" max="531" width="22.6640625" style="1" customWidth="1"/>
    <col min="532" max="532" width="20.33203125" style="1" customWidth="1"/>
    <col min="533" max="533" width="8.33203125" style="1" customWidth="1"/>
    <col min="534" max="534" width="28.5" style="1" bestFit="1" customWidth="1"/>
    <col min="535" max="765" width="11.5" style="1"/>
    <col min="766" max="766" width="4.6640625" style="1" customWidth="1"/>
    <col min="767" max="767" width="10.1640625" style="1" customWidth="1"/>
    <col min="768" max="768" width="51.1640625" style="1" customWidth="1"/>
    <col min="769" max="772" width="17.6640625" style="1" customWidth="1"/>
    <col min="773" max="775" width="17.83203125" style="1" customWidth="1"/>
    <col min="776" max="776" width="0" style="1" hidden="1" customWidth="1"/>
    <col min="777" max="777" width="17.83203125" style="1" customWidth="1"/>
    <col min="778" max="778" width="22.83203125" style="1" customWidth="1"/>
    <col min="779" max="781" width="17.83203125" style="1" customWidth="1"/>
    <col min="782" max="782" width="15.6640625" style="1" customWidth="1"/>
    <col min="783" max="783" width="22.33203125" style="1" customWidth="1"/>
    <col min="784" max="786" width="17.83203125" style="1" customWidth="1"/>
    <col min="787" max="787" width="22.6640625" style="1" customWidth="1"/>
    <col min="788" max="788" width="20.33203125" style="1" customWidth="1"/>
    <col min="789" max="789" width="8.33203125" style="1" customWidth="1"/>
    <col min="790" max="790" width="28.5" style="1" bestFit="1" customWidth="1"/>
    <col min="791" max="1021" width="11.5" style="1"/>
    <col min="1022" max="1022" width="4.6640625" style="1" customWidth="1"/>
    <col min="1023" max="1023" width="10.1640625" style="1" customWidth="1"/>
    <col min="1024" max="1024" width="51.1640625" style="1" customWidth="1"/>
    <col min="1025" max="1028" width="17.6640625" style="1" customWidth="1"/>
    <col min="1029" max="1031" width="17.83203125" style="1" customWidth="1"/>
    <col min="1032" max="1032" width="0" style="1" hidden="1" customWidth="1"/>
    <col min="1033" max="1033" width="17.83203125" style="1" customWidth="1"/>
    <col min="1034" max="1034" width="22.83203125" style="1" customWidth="1"/>
    <col min="1035" max="1037" width="17.83203125" style="1" customWidth="1"/>
    <col min="1038" max="1038" width="15.6640625" style="1" customWidth="1"/>
    <col min="1039" max="1039" width="22.33203125" style="1" customWidth="1"/>
    <col min="1040" max="1042" width="17.83203125" style="1" customWidth="1"/>
    <col min="1043" max="1043" width="22.6640625" style="1" customWidth="1"/>
    <col min="1044" max="1044" width="20.33203125" style="1" customWidth="1"/>
    <col min="1045" max="1045" width="8.33203125" style="1" customWidth="1"/>
    <col min="1046" max="1046" width="28.5" style="1" bestFit="1" customWidth="1"/>
    <col min="1047" max="1277" width="11.5" style="1"/>
    <col min="1278" max="1278" width="4.6640625" style="1" customWidth="1"/>
    <col min="1279" max="1279" width="10.1640625" style="1" customWidth="1"/>
    <col min="1280" max="1280" width="51.1640625" style="1" customWidth="1"/>
    <col min="1281" max="1284" width="17.6640625" style="1" customWidth="1"/>
    <col min="1285" max="1287" width="17.83203125" style="1" customWidth="1"/>
    <col min="1288" max="1288" width="0" style="1" hidden="1" customWidth="1"/>
    <col min="1289" max="1289" width="17.83203125" style="1" customWidth="1"/>
    <col min="1290" max="1290" width="22.83203125" style="1" customWidth="1"/>
    <col min="1291" max="1293" width="17.83203125" style="1" customWidth="1"/>
    <col min="1294" max="1294" width="15.6640625" style="1" customWidth="1"/>
    <col min="1295" max="1295" width="22.33203125" style="1" customWidth="1"/>
    <col min="1296" max="1298" width="17.83203125" style="1" customWidth="1"/>
    <col min="1299" max="1299" width="22.6640625" style="1" customWidth="1"/>
    <col min="1300" max="1300" width="20.33203125" style="1" customWidth="1"/>
    <col min="1301" max="1301" width="8.33203125" style="1" customWidth="1"/>
    <col min="1302" max="1302" width="28.5" style="1" bestFit="1" customWidth="1"/>
    <col min="1303" max="1533" width="11.5" style="1"/>
    <col min="1534" max="1534" width="4.6640625" style="1" customWidth="1"/>
    <col min="1535" max="1535" width="10.1640625" style="1" customWidth="1"/>
    <col min="1536" max="1536" width="51.1640625" style="1" customWidth="1"/>
    <col min="1537" max="1540" width="17.6640625" style="1" customWidth="1"/>
    <col min="1541" max="1543" width="17.83203125" style="1" customWidth="1"/>
    <col min="1544" max="1544" width="0" style="1" hidden="1" customWidth="1"/>
    <col min="1545" max="1545" width="17.83203125" style="1" customWidth="1"/>
    <col min="1546" max="1546" width="22.83203125" style="1" customWidth="1"/>
    <col min="1547" max="1549" width="17.83203125" style="1" customWidth="1"/>
    <col min="1550" max="1550" width="15.6640625" style="1" customWidth="1"/>
    <col min="1551" max="1551" width="22.33203125" style="1" customWidth="1"/>
    <col min="1552" max="1554" width="17.83203125" style="1" customWidth="1"/>
    <col min="1555" max="1555" width="22.6640625" style="1" customWidth="1"/>
    <col min="1556" max="1556" width="20.33203125" style="1" customWidth="1"/>
    <col min="1557" max="1557" width="8.33203125" style="1" customWidth="1"/>
    <col min="1558" max="1558" width="28.5" style="1" bestFit="1" customWidth="1"/>
    <col min="1559" max="1789" width="11.5" style="1"/>
    <col min="1790" max="1790" width="4.6640625" style="1" customWidth="1"/>
    <col min="1791" max="1791" width="10.1640625" style="1" customWidth="1"/>
    <col min="1792" max="1792" width="51.1640625" style="1" customWidth="1"/>
    <col min="1793" max="1796" width="17.6640625" style="1" customWidth="1"/>
    <col min="1797" max="1799" width="17.83203125" style="1" customWidth="1"/>
    <col min="1800" max="1800" width="0" style="1" hidden="1" customWidth="1"/>
    <col min="1801" max="1801" width="17.83203125" style="1" customWidth="1"/>
    <col min="1802" max="1802" width="22.83203125" style="1" customWidth="1"/>
    <col min="1803" max="1805" width="17.83203125" style="1" customWidth="1"/>
    <col min="1806" max="1806" width="15.6640625" style="1" customWidth="1"/>
    <col min="1807" max="1807" width="22.33203125" style="1" customWidth="1"/>
    <col min="1808" max="1810" width="17.83203125" style="1" customWidth="1"/>
    <col min="1811" max="1811" width="22.6640625" style="1" customWidth="1"/>
    <col min="1812" max="1812" width="20.33203125" style="1" customWidth="1"/>
    <col min="1813" max="1813" width="8.33203125" style="1" customWidth="1"/>
    <col min="1814" max="1814" width="28.5" style="1" bestFit="1" customWidth="1"/>
    <col min="1815" max="2045" width="11.5" style="1"/>
    <col min="2046" max="2046" width="4.6640625" style="1" customWidth="1"/>
    <col min="2047" max="2047" width="10.1640625" style="1" customWidth="1"/>
    <col min="2048" max="2048" width="51.1640625" style="1" customWidth="1"/>
    <col min="2049" max="2052" width="17.6640625" style="1" customWidth="1"/>
    <col min="2053" max="2055" width="17.83203125" style="1" customWidth="1"/>
    <col min="2056" max="2056" width="0" style="1" hidden="1" customWidth="1"/>
    <col min="2057" max="2057" width="17.83203125" style="1" customWidth="1"/>
    <col min="2058" max="2058" width="22.83203125" style="1" customWidth="1"/>
    <col min="2059" max="2061" width="17.83203125" style="1" customWidth="1"/>
    <col min="2062" max="2062" width="15.6640625" style="1" customWidth="1"/>
    <col min="2063" max="2063" width="22.33203125" style="1" customWidth="1"/>
    <col min="2064" max="2066" width="17.83203125" style="1" customWidth="1"/>
    <col min="2067" max="2067" width="22.6640625" style="1" customWidth="1"/>
    <col min="2068" max="2068" width="20.33203125" style="1" customWidth="1"/>
    <col min="2069" max="2069" width="8.33203125" style="1" customWidth="1"/>
    <col min="2070" max="2070" width="28.5" style="1" bestFit="1" customWidth="1"/>
    <col min="2071" max="2301" width="11.5" style="1"/>
    <col min="2302" max="2302" width="4.6640625" style="1" customWidth="1"/>
    <col min="2303" max="2303" width="10.1640625" style="1" customWidth="1"/>
    <col min="2304" max="2304" width="51.1640625" style="1" customWidth="1"/>
    <col min="2305" max="2308" width="17.6640625" style="1" customWidth="1"/>
    <col min="2309" max="2311" width="17.83203125" style="1" customWidth="1"/>
    <col min="2312" max="2312" width="0" style="1" hidden="1" customWidth="1"/>
    <col min="2313" max="2313" width="17.83203125" style="1" customWidth="1"/>
    <col min="2314" max="2314" width="22.83203125" style="1" customWidth="1"/>
    <col min="2315" max="2317" width="17.83203125" style="1" customWidth="1"/>
    <col min="2318" max="2318" width="15.6640625" style="1" customWidth="1"/>
    <col min="2319" max="2319" width="22.33203125" style="1" customWidth="1"/>
    <col min="2320" max="2322" width="17.83203125" style="1" customWidth="1"/>
    <col min="2323" max="2323" width="22.6640625" style="1" customWidth="1"/>
    <col min="2324" max="2324" width="20.33203125" style="1" customWidth="1"/>
    <col min="2325" max="2325" width="8.33203125" style="1" customWidth="1"/>
    <col min="2326" max="2326" width="28.5" style="1" bestFit="1" customWidth="1"/>
    <col min="2327" max="2557" width="11.5" style="1"/>
    <col min="2558" max="2558" width="4.6640625" style="1" customWidth="1"/>
    <col min="2559" max="2559" width="10.1640625" style="1" customWidth="1"/>
    <col min="2560" max="2560" width="51.1640625" style="1" customWidth="1"/>
    <col min="2561" max="2564" width="17.6640625" style="1" customWidth="1"/>
    <col min="2565" max="2567" width="17.83203125" style="1" customWidth="1"/>
    <col min="2568" max="2568" width="0" style="1" hidden="1" customWidth="1"/>
    <col min="2569" max="2569" width="17.83203125" style="1" customWidth="1"/>
    <col min="2570" max="2570" width="22.83203125" style="1" customWidth="1"/>
    <col min="2571" max="2573" width="17.83203125" style="1" customWidth="1"/>
    <col min="2574" max="2574" width="15.6640625" style="1" customWidth="1"/>
    <col min="2575" max="2575" width="22.33203125" style="1" customWidth="1"/>
    <col min="2576" max="2578" width="17.83203125" style="1" customWidth="1"/>
    <col min="2579" max="2579" width="22.6640625" style="1" customWidth="1"/>
    <col min="2580" max="2580" width="20.33203125" style="1" customWidth="1"/>
    <col min="2581" max="2581" width="8.33203125" style="1" customWidth="1"/>
    <col min="2582" max="2582" width="28.5" style="1" bestFit="1" customWidth="1"/>
    <col min="2583" max="2813" width="11.5" style="1"/>
    <col min="2814" max="2814" width="4.6640625" style="1" customWidth="1"/>
    <col min="2815" max="2815" width="10.1640625" style="1" customWidth="1"/>
    <col min="2816" max="2816" width="51.1640625" style="1" customWidth="1"/>
    <col min="2817" max="2820" width="17.6640625" style="1" customWidth="1"/>
    <col min="2821" max="2823" width="17.83203125" style="1" customWidth="1"/>
    <col min="2824" max="2824" width="0" style="1" hidden="1" customWidth="1"/>
    <col min="2825" max="2825" width="17.83203125" style="1" customWidth="1"/>
    <col min="2826" max="2826" width="22.83203125" style="1" customWidth="1"/>
    <col min="2827" max="2829" width="17.83203125" style="1" customWidth="1"/>
    <col min="2830" max="2830" width="15.6640625" style="1" customWidth="1"/>
    <col min="2831" max="2831" width="22.33203125" style="1" customWidth="1"/>
    <col min="2832" max="2834" width="17.83203125" style="1" customWidth="1"/>
    <col min="2835" max="2835" width="22.6640625" style="1" customWidth="1"/>
    <col min="2836" max="2836" width="20.33203125" style="1" customWidth="1"/>
    <col min="2837" max="2837" width="8.33203125" style="1" customWidth="1"/>
    <col min="2838" max="2838" width="28.5" style="1" bestFit="1" customWidth="1"/>
    <col min="2839" max="3069" width="11.5" style="1"/>
    <col min="3070" max="3070" width="4.6640625" style="1" customWidth="1"/>
    <col min="3071" max="3071" width="10.1640625" style="1" customWidth="1"/>
    <col min="3072" max="3072" width="51.1640625" style="1" customWidth="1"/>
    <col min="3073" max="3076" width="17.6640625" style="1" customWidth="1"/>
    <col min="3077" max="3079" width="17.83203125" style="1" customWidth="1"/>
    <col min="3080" max="3080" width="0" style="1" hidden="1" customWidth="1"/>
    <col min="3081" max="3081" width="17.83203125" style="1" customWidth="1"/>
    <col min="3082" max="3082" width="22.83203125" style="1" customWidth="1"/>
    <col min="3083" max="3085" width="17.83203125" style="1" customWidth="1"/>
    <col min="3086" max="3086" width="15.6640625" style="1" customWidth="1"/>
    <col min="3087" max="3087" width="22.33203125" style="1" customWidth="1"/>
    <col min="3088" max="3090" width="17.83203125" style="1" customWidth="1"/>
    <col min="3091" max="3091" width="22.6640625" style="1" customWidth="1"/>
    <col min="3092" max="3092" width="20.33203125" style="1" customWidth="1"/>
    <col min="3093" max="3093" width="8.33203125" style="1" customWidth="1"/>
    <col min="3094" max="3094" width="28.5" style="1" bestFit="1" customWidth="1"/>
    <col min="3095" max="3325" width="11.5" style="1"/>
    <col min="3326" max="3326" width="4.6640625" style="1" customWidth="1"/>
    <col min="3327" max="3327" width="10.1640625" style="1" customWidth="1"/>
    <col min="3328" max="3328" width="51.1640625" style="1" customWidth="1"/>
    <col min="3329" max="3332" width="17.6640625" style="1" customWidth="1"/>
    <col min="3333" max="3335" width="17.83203125" style="1" customWidth="1"/>
    <col min="3336" max="3336" width="0" style="1" hidden="1" customWidth="1"/>
    <col min="3337" max="3337" width="17.83203125" style="1" customWidth="1"/>
    <col min="3338" max="3338" width="22.83203125" style="1" customWidth="1"/>
    <col min="3339" max="3341" width="17.83203125" style="1" customWidth="1"/>
    <col min="3342" max="3342" width="15.6640625" style="1" customWidth="1"/>
    <col min="3343" max="3343" width="22.33203125" style="1" customWidth="1"/>
    <col min="3344" max="3346" width="17.83203125" style="1" customWidth="1"/>
    <col min="3347" max="3347" width="22.6640625" style="1" customWidth="1"/>
    <col min="3348" max="3348" width="20.33203125" style="1" customWidth="1"/>
    <col min="3349" max="3349" width="8.33203125" style="1" customWidth="1"/>
    <col min="3350" max="3350" width="28.5" style="1" bestFit="1" customWidth="1"/>
    <col min="3351" max="3581" width="11.5" style="1"/>
    <col min="3582" max="3582" width="4.6640625" style="1" customWidth="1"/>
    <col min="3583" max="3583" width="10.1640625" style="1" customWidth="1"/>
    <col min="3584" max="3584" width="51.1640625" style="1" customWidth="1"/>
    <col min="3585" max="3588" width="17.6640625" style="1" customWidth="1"/>
    <col min="3589" max="3591" width="17.83203125" style="1" customWidth="1"/>
    <col min="3592" max="3592" width="0" style="1" hidden="1" customWidth="1"/>
    <col min="3593" max="3593" width="17.83203125" style="1" customWidth="1"/>
    <col min="3594" max="3594" width="22.83203125" style="1" customWidth="1"/>
    <col min="3595" max="3597" width="17.83203125" style="1" customWidth="1"/>
    <col min="3598" max="3598" width="15.6640625" style="1" customWidth="1"/>
    <col min="3599" max="3599" width="22.33203125" style="1" customWidth="1"/>
    <col min="3600" max="3602" width="17.83203125" style="1" customWidth="1"/>
    <col min="3603" max="3603" width="22.6640625" style="1" customWidth="1"/>
    <col min="3604" max="3604" width="20.33203125" style="1" customWidth="1"/>
    <col min="3605" max="3605" width="8.33203125" style="1" customWidth="1"/>
    <col min="3606" max="3606" width="28.5" style="1" bestFit="1" customWidth="1"/>
    <col min="3607" max="3837" width="11.5" style="1"/>
    <col min="3838" max="3838" width="4.6640625" style="1" customWidth="1"/>
    <col min="3839" max="3839" width="10.1640625" style="1" customWidth="1"/>
    <col min="3840" max="3840" width="51.1640625" style="1" customWidth="1"/>
    <col min="3841" max="3844" width="17.6640625" style="1" customWidth="1"/>
    <col min="3845" max="3847" width="17.83203125" style="1" customWidth="1"/>
    <col min="3848" max="3848" width="0" style="1" hidden="1" customWidth="1"/>
    <col min="3849" max="3849" width="17.83203125" style="1" customWidth="1"/>
    <col min="3850" max="3850" width="22.83203125" style="1" customWidth="1"/>
    <col min="3851" max="3853" width="17.83203125" style="1" customWidth="1"/>
    <col min="3854" max="3854" width="15.6640625" style="1" customWidth="1"/>
    <col min="3855" max="3855" width="22.33203125" style="1" customWidth="1"/>
    <col min="3856" max="3858" width="17.83203125" style="1" customWidth="1"/>
    <col min="3859" max="3859" width="22.6640625" style="1" customWidth="1"/>
    <col min="3860" max="3860" width="20.33203125" style="1" customWidth="1"/>
    <col min="3861" max="3861" width="8.33203125" style="1" customWidth="1"/>
    <col min="3862" max="3862" width="28.5" style="1" bestFit="1" customWidth="1"/>
    <col min="3863" max="4093" width="11.5" style="1"/>
    <col min="4094" max="4094" width="4.6640625" style="1" customWidth="1"/>
    <col min="4095" max="4095" width="10.1640625" style="1" customWidth="1"/>
    <col min="4096" max="4096" width="51.1640625" style="1" customWidth="1"/>
    <col min="4097" max="4100" width="17.6640625" style="1" customWidth="1"/>
    <col min="4101" max="4103" width="17.83203125" style="1" customWidth="1"/>
    <col min="4104" max="4104" width="0" style="1" hidden="1" customWidth="1"/>
    <col min="4105" max="4105" width="17.83203125" style="1" customWidth="1"/>
    <col min="4106" max="4106" width="22.83203125" style="1" customWidth="1"/>
    <col min="4107" max="4109" width="17.83203125" style="1" customWidth="1"/>
    <col min="4110" max="4110" width="15.6640625" style="1" customWidth="1"/>
    <col min="4111" max="4111" width="22.33203125" style="1" customWidth="1"/>
    <col min="4112" max="4114" width="17.83203125" style="1" customWidth="1"/>
    <col min="4115" max="4115" width="22.6640625" style="1" customWidth="1"/>
    <col min="4116" max="4116" width="20.33203125" style="1" customWidth="1"/>
    <col min="4117" max="4117" width="8.33203125" style="1" customWidth="1"/>
    <col min="4118" max="4118" width="28.5" style="1" bestFit="1" customWidth="1"/>
    <col min="4119" max="4349" width="11.5" style="1"/>
    <col min="4350" max="4350" width="4.6640625" style="1" customWidth="1"/>
    <col min="4351" max="4351" width="10.1640625" style="1" customWidth="1"/>
    <col min="4352" max="4352" width="51.1640625" style="1" customWidth="1"/>
    <col min="4353" max="4356" width="17.6640625" style="1" customWidth="1"/>
    <col min="4357" max="4359" width="17.83203125" style="1" customWidth="1"/>
    <col min="4360" max="4360" width="0" style="1" hidden="1" customWidth="1"/>
    <col min="4361" max="4361" width="17.83203125" style="1" customWidth="1"/>
    <col min="4362" max="4362" width="22.83203125" style="1" customWidth="1"/>
    <col min="4363" max="4365" width="17.83203125" style="1" customWidth="1"/>
    <col min="4366" max="4366" width="15.6640625" style="1" customWidth="1"/>
    <col min="4367" max="4367" width="22.33203125" style="1" customWidth="1"/>
    <col min="4368" max="4370" width="17.83203125" style="1" customWidth="1"/>
    <col min="4371" max="4371" width="22.6640625" style="1" customWidth="1"/>
    <col min="4372" max="4372" width="20.33203125" style="1" customWidth="1"/>
    <col min="4373" max="4373" width="8.33203125" style="1" customWidth="1"/>
    <col min="4374" max="4374" width="28.5" style="1" bestFit="1" customWidth="1"/>
    <col min="4375" max="4605" width="11.5" style="1"/>
    <col min="4606" max="4606" width="4.6640625" style="1" customWidth="1"/>
    <col min="4607" max="4607" width="10.1640625" style="1" customWidth="1"/>
    <col min="4608" max="4608" width="51.1640625" style="1" customWidth="1"/>
    <col min="4609" max="4612" width="17.6640625" style="1" customWidth="1"/>
    <col min="4613" max="4615" width="17.83203125" style="1" customWidth="1"/>
    <col min="4616" max="4616" width="0" style="1" hidden="1" customWidth="1"/>
    <col min="4617" max="4617" width="17.83203125" style="1" customWidth="1"/>
    <col min="4618" max="4618" width="22.83203125" style="1" customWidth="1"/>
    <col min="4619" max="4621" width="17.83203125" style="1" customWidth="1"/>
    <col min="4622" max="4622" width="15.6640625" style="1" customWidth="1"/>
    <col min="4623" max="4623" width="22.33203125" style="1" customWidth="1"/>
    <col min="4624" max="4626" width="17.83203125" style="1" customWidth="1"/>
    <col min="4627" max="4627" width="22.6640625" style="1" customWidth="1"/>
    <col min="4628" max="4628" width="20.33203125" style="1" customWidth="1"/>
    <col min="4629" max="4629" width="8.33203125" style="1" customWidth="1"/>
    <col min="4630" max="4630" width="28.5" style="1" bestFit="1" customWidth="1"/>
    <col min="4631" max="4861" width="11.5" style="1"/>
    <col min="4862" max="4862" width="4.6640625" style="1" customWidth="1"/>
    <col min="4863" max="4863" width="10.1640625" style="1" customWidth="1"/>
    <col min="4864" max="4864" width="51.1640625" style="1" customWidth="1"/>
    <col min="4865" max="4868" width="17.6640625" style="1" customWidth="1"/>
    <col min="4869" max="4871" width="17.83203125" style="1" customWidth="1"/>
    <col min="4872" max="4872" width="0" style="1" hidden="1" customWidth="1"/>
    <col min="4873" max="4873" width="17.83203125" style="1" customWidth="1"/>
    <col min="4874" max="4874" width="22.83203125" style="1" customWidth="1"/>
    <col min="4875" max="4877" width="17.83203125" style="1" customWidth="1"/>
    <col min="4878" max="4878" width="15.6640625" style="1" customWidth="1"/>
    <col min="4879" max="4879" width="22.33203125" style="1" customWidth="1"/>
    <col min="4880" max="4882" width="17.83203125" style="1" customWidth="1"/>
    <col min="4883" max="4883" width="22.6640625" style="1" customWidth="1"/>
    <col min="4884" max="4884" width="20.33203125" style="1" customWidth="1"/>
    <col min="4885" max="4885" width="8.33203125" style="1" customWidth="1"/>
    <col min="4886" max="4886" width="28.5" style="1" bestFit="1" customWidth="1"/>
    <col min="4887" max="5117" width="11.5" style="1"/>
    <col min="5118" max="5118" width="4.6640625" style="1" customWidth="1"/>
    <col min="5119" max="5119" width="10.1640625" style="1" customWidth="1"/>
    <col min="5120" max="5120" width="51.1640625" style="1" customWidth="1"/>
    <col min="5121" max="5124" width="17.6640625" style="1" customWidth="1"/>
    <col min="5125" max="5127" width="17.83203125" style="1" customWidth="1"/>
    <col min="5128" max="5128" width="0" style="1" hidden="1" customWidth="1"/>
    <col min="5129" max="5129" width="17.83203125" style="1" customWidth="1"/>
    <col min="5130" max="5130" width="22.83203125" style="1" customWidth="1"/>
    <col min="5131" max="5133" width="17.83203125" style="1" customWidth="1"/>
    <col min="5134" max="5134" width="15.6640625" style="1" customWidth="1"/>
    <col min="5135" max="5135" width="22.33203125" style="1" customWidth="1"/>
    <col min="5136" max="5138" width="17.83203125" style="1" customWidth="1"/>
    <col min="5139" max="5139" width="22.6640625" style="1" customWidth="1"/>
    <col min="5140" max="5140" width="20.33203125" style="1" customWidth="1"/>
    <col min="5141" max="5141" width="8.33203125" style="1" customWidth="1"/>
    <col min="5142" max="5142" width="28.5" style="1" bestFit="1" customWidth="1"/>
    <col min="5143" max="5373" width="11.5" style="1"/>
    <col min="5374" max="5374" width="4.6640625" style="1" customWidth="1"/>
    <col min="5375" max="5375" width="10.1640625" style="1" customWidth="1"/>
    <col min="5376" max="5376" width="51.1640625" style="1" customWidth="1"/>
    <col min="5377" max="5380" width="17.6640625" style="1" customWidth="1"/>
    <col min="5381" max="5383" width="17.83203125" style="1" customWidth="1"/>
    <col min="5384" max="5384" width="0" style="1" hidden="1" customWidth="1"/>
    <col min="5385" max="5385" width="17.83203125" style="1" customWidth="1"/>
    <col min="5386" max="5386" width="22.83203125" style="1" customWidth="1"/>
    <col min="5387" max="5389" width="17.83203125" style="1" customWidth="1"/>
    <col min="5390" max="5390" width="15.6640625" style="1" customWidth="1"/>
    <col min="5391" max="5391" width="22.33203125" style="1" customWidth="1"/>
    <col min="5392" max="5394" width="17.83203125" style="1" customWidth="1"/>
    <col min="5395" max="5395" width="22.6640625" style="1" customWidth="1"/>
    <col min="5396" max="5396" width="20.33203125" style="1" customWidth="1"/>
    <col min="5397" max="5397" width="8.33203125" style="1" customWidth="1"/>
    <col min="5398" max="5398" width="28.5" style="1" bestFit="1" customWidth="1"/>
    <col min="5399" max="5629" width="11.5" style="1"/>
    <col min="5630" max="5630" width="4.6640625" style="1" customWidth="1"/>
    <col min="5631" max="5631" width="10.1640625" style="1" customWidth="1"/>
    <col min="5632" max="5632" width="51.1640625" style="1" customWidth="1"/>
    <col min="5633" max="5636" width="17.6640625" style="1" customWidth="1"/>
    <col min="5637" max="5639" width="17.83203125" style="1" customWidth="1"/>
    <col min="5640" max="5640" width="0" style="1" hidden="1" customWidth="1"/>
    <col min="5641" max="5641" width="17.83203125" style="1" customWidth="1"/>
    <col min="5642" max="5642" width="22.83203125" style="1" customWidth="1"/>
    <col min="5643" max="5645" width="17.83203125" style="1" customWidth="1"/>
    <col min="5646" max="5646" width="15.6640625" style="1" customWidth="1"/>
    <col min="5647" max="5647" width="22.33203125" style="1" customWidth="1"/>
    <col min="5648" max="5650" width="17.83203125" style="1" customWidth="1"/>
    <col min="5651" max="5651" width="22.6640625" style="1" customWidth="1"/>
    <col min="5652" max="5652" width="20.33203125" style="1" customWidth="1"/>
    <col min="5653" max="5653" width="8.33203125" style="1" customWidth="1"/>
    <col min="5654" max="5654" width="28.5" style="1" bestFit="1" customWidth="1"/>
    <col min="5655" max="5885" width="11.5" style="1"/>
    <col min="5886" max="5886" width="4.6640625" style="1" customWidth="1"/>
    <col min="5887" max="5887" width="10.1640625" style="1" customWidth="1"/>
    <col min="5888" max="5888" width="51.1640625" style="1" customWidth="1"/>
    <col min="5889" max="5892" width="17.6640625" style="1" customWidth="1"/>
    <col min="5893" max="5895" width="17.83203125" style="1" customWidth="1"/>
    <col min="5896" max="5896" width="0" style="1" hidden="1" customWidth="1"/>
    <col min="5897" max="5897" width="17.83203125" style="1" customWidth="1"/>
    <col min="5898" max="5898" width="22.83203125" style="1" customWidth="1"/>
    <col min="5899" max="5901" width="17.83203125" style="1" customWidth="1"/>
    <col min="5902" max="5902" width="15.6640625" style="1" customWidth="1"/>
    <col min="5903" max="5903" width="22.33203125" style="1" customWidth="1"/>
    <col min="5904" max="5906" width="17.83203125" style="1" customWidth="1"/>
    <col min="5907" max="5907" width="22.6640625" style="1" customWidth="1"/>
    <col min="5908" max="5908" width="20.33203125" style="1" customWidth="1"/>
    <col min="5909" max="5909" width="8.33203125" style="1" customWidth="1"/>
    <col min="5910" max="5910" width="28.5" style="1" bestFit="1" customWidth="1"/>
    <col min="5911" max="6141" width="11.5" style="1"/>
    <col min="6142" max="6142" width="4.6640625" style="1" customWidth="1"/>
    <col min="6143" max="6143" width="10.1640625" style="1" customWidth="1"/>
    <col min="6144" max="6144" width="51.1640625" style="1" customWidth="1"/>
    <col min="6145" max="6148" width="17.6640625" style="1" customWidth="1"/>
    <col min="6149" max="6151" width="17.83203125" style="1" customWidth="1"/>
    <col min="6152" max="6152" width="0" style="1" hidden="1" customWidth="1"/>
    <col min="6153" max="6153" width="17.83203125" style="1" customWidth="1"/>
    <col min="6154" max="6154" width="22.83203125" style="1" customWidth="1"/>
    <col min="6155" max="6157" width="17.83203125" style="1" customWidth="1"/>
    <col min="6158" max="6158" width="15.6640625" style="1" customWidth="1"/>
    <col min="6159" max="6159" width="22.33203125" style="1" customWidth="1"/>
    <col min="6160" max="6162" width="17.83203125" style="1" customWidth="1"/>
    <col min="6163" max="6163" width="22.6640625" style="1" customWidth="1"/>
    <col min="6164" max="6164" width="20.33203125" style="1" customWidth="1"/>
    <col min="6165" max="6165" width="8.33203125" style="1" customWidth="1"/>
    <col min="6166" max="6166" width="28.5" style="1" bestFit="1" customWidth="1"/>
    <col min="6167" max="6397" width="11.5" style="1"/>
    <col min="6398" max="6398" width="4.6640625" style="1" customWidth="1"/>
    <col min="6399" max="6399" width="10.1640625" style="1" customWidth="1"/>
    <col min="6400" max="6400" width="51.1640625" style="1" customWidth="1"/>
    <col min="6401" max="6404" width="17.6640625" style="1" customWidth="1"/>
    <col min="6405" max="6407" width="17.83203125" style="1" customWidth="1"/>
    <col min="6408" max="6408" width="0" style="1" hidden="1" customWidth="1"/>
    <col min="6409" max="6409" width="17.83203125" style="1" customWidth="1"/>
    <col min="6410" max="6410" width="22.83203125" style="1" customWidth="1"/>
    <col min="6411" max="6413" width="17.83203125" style="1" customWidth="1"/>
    <col min="6414" max="6414" width="15.6640625" style="1" customWidth="1"/>
    <col min="6415" max="6415" width="22.33203125" style="1" customWidth="1"/>
    <col min="6416" max="6418" width="17.83203125" style="1" customWidth="1"/>
    <col min="6419" max="6419" width="22.6640625" style="1" customWidth="1"/>
    <col min="6420" max="6420" width="20.33203125" style="1" customWidth="1"/>
    <col min="6421" max="6421" width="8.33203125" style="1" customWidth="1"/>
    <col min="6422" max="6422" width="28.5" style="1" bestFit="1" customWidth="1"/>
    <col min="6423" max="6653" width="11.5" style="1"/>
    <col min="6654" max="6654" width="4.6640625" style="1" customWidth="1"/>
    <col min="6655" max="6655" width="10.1640625" style="1" customWidth="1"/>
    <col min="6656" max="6656" width="51.1640625" style="1" customWidth="1"/>
    <col min="6657" max="6660" width="17.6640625" style="1" customWidth="1"/>
    <col min="6661" max="6663" width="17.83203125" style="1" customWidth="1"/>
    <col min="6664" max="6664" width="0" style="1" hidden="1" customWidth="1"/>
    <col min="6665" max="6665" width="17.83203125" style="1" customWidth="1"/>
    <col min="6666" max="6666" width="22.83203125" style="1" customWidth="1"/>
    <col min="6667" max="6669" width="17.83203125" style="1" customWidth="1"/>
    <col min="6670" max="6670" width="15.6640625" style="1" customWidth="1"/>
    <col min="6671" max="6671" width="22.33203125" style="1" customWidth="1"/>
    <col min="6672" max="6674" width="17.83203125" style="1" customWidth="1"/>
    <col min="6675" max="6675" width="22.6640625" style="1" customWidth="1"/>
    <col min="6676" max="6676" width="20.33203125" style="1" customWidth="1"/>
    <col min="6677" max="6677" width="8.33203125" style="1" customWidth="1"/>
    <col min="6678" max="6678" width="28.5" style="1" bestFit="1" customWidth="1"/>
    <col min="6679" max="6909" width="11.5" style="1"/>
    <col min="6910" max="6910" width="4.6640625" style="1" customWidth="1"/>
    <col min="6911" max="6911" width="10.1640625" style="1" customWidth="1"/>
    <col min="6912" max="6912" width="51.1640625" style="1" customWidth="1"/>
    <col min="6913" max="6916" width="17.6640625" style="1" customWidth="1"/>
    <col min="6917" max="6919" width="17.83203125" style="1" customWidth="1"/>
    <col min="6920" max="6920" width="0" style="1" hidden="1" customWidth="1"/>
    <col min="6921" max="6921" width="17.83203125" style="1" customWidth="1"/>
    <col min="6922" max="6922" width="22.83203125" style="1" customWidth="1"/>
    <col min="6923" max="6925" width="17.83203125" style="1" customWidth="1"/>
    <col min="6926" max="6926" width="15.6640625" style="1" customWidth="1"/>
    <col min="6927" max="6927" width="22.33203125" style="1" customWidth="1"/>
    <col min="6928" max="6930" width="17.83203125" style="1" customWidth="1"/>
    <col min="6931" max="6931" width="22.6640625" style="1" customWidth="1"/>
    <col min="6932" max="6932" width="20.33203125" style="1" customWidth="1"/>
    <col min="6933" max="6933" width="8.33203125" style="1" customWidth="1"/>
    <col min="6934" max="6934" width="28.5" style="1" bestFit="1" customWidth="1"/>
    <col min="6935" max="7165" width="11.5" style="1"/>
    <col min="7166" max="7166" width="4.6640625" style="1" customWidth="1"/>
    <col min="7167" max="7167" width="10.1640625" style="1" customWidth="1"/>
    <col min="7168" max="7168" width="51.1640625" style="1" customWidth="1"/>
    <col min="7169" max="7172" width="17.6640625" style="1" customWidth="1"/>
    <col min="7173" max="7175" width="17.83203125" style="1" customWidth="1"/>
    <col min="7176" max="7176" width="0" style="1" hidden="1" customWidth="1"/>
    <col min="7177" max="7177" width="17.83203125" style="1" customWidth="1"/>
    <col min="7178" max="7178" width="22.83203125" style="1" customWidth="1"/>
    <col min="7179" max="7181" width="17.83203125" style="1" customWidth="1"/>
    <col min="7182" max="7182" width="15.6640625" style="1" customWidth="1"/>
    <col min="7183" max="7183" width="22.33203125" style="1" customWidth="1"/>
    <col min="7184" max="7186" width="17.83203125" style="1" customWidth="1"/>
    <col min="7187" max="7187" width="22.6640625" style="1" customWidth="1"/>
    <col min="7188" max="7188" width="20.33203125" style="1" customWidth="1"/>
    <col min="7189" max="7189" width="8.33203125" style="1" customWidth="1"/>
    <col min="7190" max="7190" width="28.5" style="1" bestFit="1" customWidth="1"/>
    <col min="7191" max="7421" width="11.5" style="1"/>
    <col min="7422" max="7422" width="4.6640625" style="1" customWidth="1"/>
    <col min="7423" max="7423" width="10.1640625" style="1" customWidth="1"/>
    <col min="7424" max="7424" width="51.1640625" style="1" customWidth="1"/>
    <col min="7425" max="7428" width="17.6640625" style="1" customWidth="1"/>
    <col min="7429" max="7431" width="17.83203125" style="1" customWidth="1"/>
    <col min="7432" max="7432" width="0" style="1" hidden="1" customWidth="1"/>
    <col min="7433" max="7433" width="17.83203125" style="1" customWidth="1"/>
    <col min="7434" max="7434" width="22.83203125" style="1" customWidth="1"/>
    <col min="7435" max="7437" width="17.83203125" style="1" customWidth="1"/>
    <col min="7438" max="7438" width="15.6640625" style="1" customWidth="1"/>
    <col min="7439" max="7439" width="22.33203125" style="1" customWidth="1"/>
    <col min="7440" max="7442" width="17.83203125" style="1" customWidth="1"/>
    <col min="7443" max="7443" width="22.6640625" style="1" customWidth="1"/>
    <col min="7444" max="7444" width="20.33203125" style="1" customWidth="1"/>
    <col min="7445" max="7445" width="8.33203125" style="1" customWidth="1"/>
    <col min="7446" max="7446" width="28.5" style="1" bestFit="1" customWidth="1"/>
    <col min="7447" max="7677" width="11.5" style="1"/>
    <col min="7678" max="7678" width="4.6640625" style="1" customWidth="1"/>
    <col min="7679" max="7679" width="10.1640625" style="1" customWidth="1"/>
    <col min="7680" max="7680" width="51.1640625" style="1" customWidth="1"/>
    <col min="7681" max="7684" width="17.6640625" style="1" customWidth="1"/>
    <col min="7685" max="7687" width="17.83203125" style="1" customWidth="1"/>
    <col min="7688" max="7688" width="0" style="1" hidden="1" customWidth="1"/>
    <col min="7689" max="7689" width="17.83203125" style="1" customWidth="1"/>
    <col min="7690" max="7690" width="22.83203125" style="1" customWidth="1"/>
    <col min="7691" max="7693" width="17.83203125" style="1" customWidth="1"/>
    <col min="7694" max="7694" width="15.6640625" style="1" customWidth="1"/>
    <col min="7695" max="7695" width="22.33203125" style="1" customWidth="1"/>
    <col min="7696" max="7698" width="17.83203125" style="1" customWidth="1"/>
    <col min="7699" max="7699" width="22.6640625" style="1" customWidth="1"/>
    <col min="7700" max="7700" width="20.33203125" style="1" customWidth="1"/>
    <col min="7701" max="7701" width="8.33203125" style="1" customWidth="1"/>
    <col min="7702" max="7702" width="28.5" style="1" bestFit="1" customWidth="1"/>
    <col min="7703" max="7933" width="11.5" style="1"/>
    <col min="7934" max="7934" width="4.6640625" style="1" customWidth="1"/>
    <col min="7935" max="7935" width="10.1640625" style="1" customWidth="1"/>
    <col min="7936" max="7936" width="51.1640625" style="1" customWidth="1"/>
    <col min="7937" max="7940" width="17.6640625" style="1" customWidth="1"/>
    <col min="7941" max="7943" width="17.83203125" style="1" customWidth="1"/>
    <col min="7944" max="7944" width="0" style="1" hidden="1" customWidth="1"/>
    <col min="7945" max="7945" width="17.83203125" style="1" customWidth="1"/>
    <col min="7946" max="7946" width="22.83203125" style="1" customWidth="1"/>
    <col min="7947" max="7949" width="17.83203125" style="1" customWidth="1"/>
    <col min="7950" max="7950" width="15.6640625" style="1" customWidth="1"/>
    <col min="7951" max="7951" width="22.33203125" style="1" customWidth="1"/>
    <col min="7952" max="7954" width="17.83203125" style="1" customWidth="1"/>
    <col min="7955" max="7955" width="22.6640625" style="1" customWidth="1"/>
    <col min="7956" max="7956" width="20.33203125" style="1" customWidth="1"/>
    <col min="7957" max="7957" width="8.33203125" style="1" customWidth="1"/>
    <col min="7958" max="7958" width="28.5" style="1" bestFit="1" customWidth="1"/>
    <col min="7959" max="8189" width="11.5" style="1"/>
    <col min="8190" max="8190" width="4.6640625" style="1" customWidth="1"/>
    <col min="8191" max="8191" width="10.1640625" style="1" customWidth="1"/>
    <col min="8192" max="8192" width="51.1640625" style="1" customWidth="1"/>
    <col min="8193" max="8196" width="17.6640625" style="1" customWidth="1"/>
    <col min="8197" max="8199" width="17.83203125" style="1" customWidth="1"/>
    <col min="8200" max="8200" width="0" style="1" hidden="1" customWidth="1"/>
    <col min="8201" max="8201" width="17.83203125" style="1" customWidth="1"/>
    <col min="8202" max="8202" width="22.83203125" style="1" customWidth="1"/>
    <col min="8203" max="8205" width="17.83203125" style="1" customWidth="1"/>
    <col min="8206" max="8206" width="15.6640625" style="1" customWidth="1"/>
    <col min="8207" max="8207" width="22.33203125" style="1" customWidth="1"/>
    <col min="8208" max="8210" width="17.83203125" style="1" customWidth="1"/>
    <col min="8211" max="8211" width="22.6640625" style="1" customWidth="1"/>
    <col min="8212" max="8212" width="20.33203125" style="1" customWidth="1"/>
    <col min="8213" max="8213" width="8.33203125" style="1" customWidth="1"/>
    <col min="8214" max="8214" width="28.5" style="1" bestFit="1" customWidth="1"/>
    <col min="8215" max="8445" width="11.5" style="1"/>
    <col min="8446" max="8446" width="4.6640625" style="1" customWidth="1"/>
    <col min="8447" max="8447" width="10.1640625" style="1" customWidth="1"/>
    <col min="8448" max="8448" width="51.1640625" style="1" customWidth="1"/>
    <col min="8449" max="8452" width="17.6640625" style="1" customWidth="1"/>
    <col min="8453" max="8455" width="17.83203125" style="1" customWidth="1"/>
    <col min="8456" max="8456" width="0" style="1" hidden="1" customWidth="1"/>
    <col min="8457" max="8457" width="17.83203125" style="1" customWidth="1"/>
    <col min="8458" max="8458" width="22.83203125" style="1" customWidth="1"/>
    <col min="8459" max="8461" width="17.83203125" style="1" customWidth="1"/>
    <col min="8462" max="8462" width="15.6640625" style="1" customWidth="1"/>
    <col min="8463" max="8463" width="22.33203125" style="1" customWidth="1"/>
    <col min="8464" max="8466" width="17.83203125" style="1" customWidth="1"/>
    <col min="8467" max="8467" width="22.6640625" style="1" customWidth="1"/>
    <col min="8468" max="8468" width="20.33203125" style="1" customWidth="1"/>
    <col min="8469" max="8469" width="8.33203125" style="1" customWidth="1"/>
    <col min="8470" max="8470" width="28.5" style="1" bestFit="1" customWidth="1"/>
    <col min="8471" max="8701" width="11.5" style="1"/>
    <col min="8702" max="8702" width="4.6640625" style="1" customWidth="1"/>
    <col min="8703" max="8703" width="10.1640625" style="1" customWidth="1"/>
    <col min="8704" max="8704" width="51.1640625" style="1" customWidth="1"/>
    <col min="8705" max="8708" width="17.6640625" style="1" customWidth="1"/>
    <col min="8709" max="8711" width="17.83203125" style="1" customWidth="1"/>
    <col min="8712" max="8712" width="0" style="1" hidden="1" customWidth="1"/>
    <col min="8713" max="8713" width="17.83203125" style="1" customWidth="1"/>
    <col min="8714" max="8714" width="22.83203125" style="1" customWidth="1"/>
    <col min="8715" max="8717" width="17.83203125" style="1" customWidth="1"/>
    <col min="8718" max="8718" width="15.6640625" style="1" customWidth="1"/>
    <col min="8719" max="8719" width="22.33203125" style="1" customWidth="1"/>
    <col min="8720" max="8722" width="17.83203125" style="1" customWidth="1"/>
    <col min="8723" max="8723" width="22.6640625" style="1" customWidth="1"/>
    <col min="8724" max="8724" width="20.33203125" style="1" customWidth="1"/>
    <col min="8725" max="8725" width="8.33203125" style="1" customWidth="1"/>
    <col min="8726" max="8726" width="28.5" style="1" bestFit="1" customWidth="1"/>
    <col min="8727" max="8957" width="11.5" style="1"/>
    <col min="8958" max="8958" width="4.6640625" style="1" customWidth="1"/>
    <col min="8959" max="8959" width="10.1640625" style="1" customWidth="1"/>
    <col min="8960" max="8960" width="51.1640625" style="1" customWidth="1"/>
    <col min="8961" max="8964" width="17.6640625" style="1" customWidth="1"/>
    <col min="8965" max="8967" width="17.83203125" style="1" customWidth="1"/>
    <col min="8968" max="8968" width="0" style="1" hidden="1" customWidth="1"/>
    <col min="8969" max="8969" width="17.83203125" style="1" customWidth="1"/>
    <col min="8970" max="8970" width="22.83203125" style="1" customWidth="1"/>
    <col min="8971" max="8973" width="17.83203125" style="1" customWidth="1"/>
    <col min="8974" max="8974" width="15.6640625" style="1" customWidth="1"/>
    <col min="8975" max="8975" width="22.33203125" style="1" customWidth="1"/>
    <col min="8976" max="8978" width="17.83203125" style="1" customWidth="1"/>
    <col min="8979" max="8979" width="22.6640625" style="1" customWidth="1"/>
    <col min="8980" max="8980" width="20.33203125" style="1" customWidth="1"/>
    <col min="8981" max="8981" width="8.33203125" style="1" customWidth="1"/>
    <col min="8982" max="8982" width="28.5" style="1" bestFit="1" customWidth="1"/>
    <col min="8983" max="9213" width="11.5" style="1"/>
    <col min="9214" max="9214" width="4.6640625" style="1" customWidth="1"/>
    <col min="9215" max="9215" width="10.1640625" style="1" customWidth="1"/>
    <col min="9216" max="9216" width="51.1640625" style="1" customWidth="1"/>
    <col min="9217" max="9220" width="17.6640625" style="1" customWidth="1"/>
    <col min="9221" max="9223" width="17.83203125" style="1" customWidth="1"/>
    <col min="9224" max="9224" width="0" style="1" hidden="1" customWidth="1"/>
    <col min="9225" max="9225" width="17.83203125" style="1" customWidth="1"/>
    <col min="9226" max="9226" width="22.83203125" style="1" customWidth="1"/>
    <col min="9227" max="9229" width="17.83203125" style="1" customWidth="1"/>
    <col min="9230" max="9230" width="15.6640625" style="1" customWidth="1"/>
    <col min="9231" max="9231" width="22.33203125" style="1" customWidth="1"/>
    <col min="9232" max="9234" width="17.83203125" style="1" customWidth="1"/>
    <col min="9235" max="9235" width="22.6640625" style="1" customWidth="1"/>
    <col min="9236" max="9236" width="20.33203125" style="1" customWidth="1"/>
    <col min="9237" max="9237" width="8.33203125" style="1" customWidth="1"/>
    <col min="9238" max="9238" width="28.5" style="1" bestFit="1" customWidth="1"/>
    <col min="9239" max="9469" width="11.5" style="1"/>
    <col min="9470" max="9470" width="4.6640625" style="1" customWidth="1"/>
    <col min="9471" max="9471" width="10.1640625" style="1" customWidth="1"/>
    <col min="9472" max="9472" width="51.1640625" style="1" customWidth="1"/>
    <col min="9473" max="9476" width="17.6640625" style="1" customWidth="1"/>
    <col min="9477" max="9479" width="17.83203125" style="1" customWidth="1"/>
    <col min="9480" max="9480" width="0" style="1" hidden="1" customWidth="1"/>
    <col min="9481" max="9481" width="17.83203125" style="1" customWidth="1"/>
    <col min="9482" max="9482" width="22.83203125" style="1" customWidth="1"/>
    <col min="9483" max="9485" width="17.83203125" style="1" customWidth="1"/>
    <col min="9486" max="9486" width="15.6640625" style="1" customWidth="1"/>
    <col min="9487" max="9487" width="22.33203125" style="1" customWidth="1"/>
    <col min="9488" max="9490" width="17.83203125" style="1" customWidth="1"/>
    <col min="9491" max="9491" width="22.6640625" style="1" customWidth="1"/>
    <col min="9492" max="9492" width="20.33203125" style="1" customWidth="1"/>
    <col min="9493" max="9493" width="8.33203125" style="1" customWidth="1"/>
    <col min="9494" max="9494" width="28.5" style="1" bestFit="1" customWidth="1"/>
    <col min="9495" max="9725" width="11.5" style="1"/>
    <col min="9726" max="9726" width="4.6640625" style="1" customWidth="1"/>
    <col min="9727" max="9727" width="10.1640625" style="1" customWidth="1"/>
    <col min="9728" max="9728" width="51.1640625" style="1" customWidth="1"/>
    <col min="9729" max="9732" width="17.6640625" style="1" customWidth="1"/>
    <col min="9733" max="9735" width="17.83203125" style="1" customWidth="1"/>
    <col min="9736" max="9736" width="0" style="1" hidden="1" customWidth="1"/>
    <col min="9737" max="9737" width="17.83203125" style="1" customWidth="1"/>
    <col min="9738" max="9738" width="22.83203125" style="1" customWidth="1"/>
    <col min="9739" max="9741" width="17.83203125" style="1" customWidth="1"/>
    <col min="9742" max="9742" width="15.6640625" style="1" customWidth="1"/>
    <col min="9743" max="9743" width="22.33203125" style="1" customWidth="1"/>
    <col min="9744" max="9746" width="17.83203125" style="1" customWidth="1"/>
    <col min="9747" max="9747" width="22.6640625" style="1" customWidth="1"/>
    <col min="9748" max="9748" width="20.33203125" style="1" customWidth="1"/>
    <col min="9749" max="9749" width="8.33203125" style="1" customWidth="1"/>
    <col min="9750" max="9750" width="28.5" style="1" bestFit="1" customWidth="1"/>
    <col min="9751" max="9981" width="11.5" style="1"/>
    <col min="9982" max="9982" width="4.6640625" style="1" customWidth="1"/>
    <col min="9983" max="9983" width="10.1640625" style="1" customWidth="1"/>
    <col min="9984" max="9984" width="51.1640625" style="1" customWidth="1"/>
    <col min="9985" max="9988" width="17.6640625" style="1" customWidth="1"/>
    <col min="9989" max="9991" width="17.83203125" style="1" customWidth="1"/>
    <col min="9992" max="9992" width="0" style="1" hidden="1" customWidth="1"/>
    <col min="9993" max="9993" width="17.83203125" style="1" customWidth="1"/>
    <col min="9994" max="9994" width="22.83203125" style="1" customWidth="1"/>
    <col min="9995" max="9997" width="17.83203125" style="1" customWidth="1"/>
    <col min="9998" max="9998" width="15.6640625" style="1" customWidth="1"/>
    <col min="9999" max="9999" width="22.33203125" style="1" customWidth="1"/>
    <col min="10000" max="10002" width="17.83203125" style="1" customWidth="1"/>
    <col min="10003" max="10003" width="22.6640625" style="1" customWidth="1"/>
    <col min="10004" max="10004" width="20.33203125" style="1" customWidth="1"/>
    <col min="10005" max="10005" width="8.33203125" style="1" customWidth="1"/>
    <col min="10006" max="10006" width="28.5" style="1" bestFit="1" customWidth="1"/>
    <col min="10007" max="10237" width="11.5" style="1"/>
    <col min="10238" max="10238" width="4.6640625" style="1" customWidth="1"/>
    <col min="10239" max="10239" width="10.1640625" style="1" customWidth="1"/>
    <col min="10240" max="10240" width="51.1640625" style="1" customWidth="1"/>
    <col min="10241" max="10244" width="17.6640625" style="1" customWidth="1"/>
    <col min="10245" max="10247" width="17.83203125" style="1" customWidth="1"/>
    <col min="10248" max="10248" width="0" style="1" hidden="1" customWidth="1"/>
    <col min="10249" max="10249" width="17.83203125" style="1" customWidth="1"/>
    <col min="10250" max="10250" width="22.83203125" style="1" customWidth="1"/>
    <col min="10251" max="10253" width="17.83203125" style="1" customWidth="1"/>
    <col min="10254" max="10254" width="15.6640625" style="1" customWidth="1"/>
    <col min="10255" max="10255" width="22.33203125" style="1" customWidth="1"/>
    <col min="10256" max="10258" width="17.83203125" style="1" customWidth="1"/>
    <col min="10259" max="10259" width="22.6640625" style="1" customWidth="1"/>
    <col min="10260" max="10260" width="20.33203125" style="1" customWidth="1"/>
    <col min="10261" max="10261" width="8.33203125" style="1" customWidth="1"/>
    <col min="10262" max="10262" width="28.5" style="1" bestFit="1" customWidth="1"/>
    <col min="10263" max="10493" width="11.5" style="1"/>
    <col min="10494" max="10494" width="4.6640625" style="1" customWidth="1"/>
    <col min="10495" max="10495" width="10.1640625" style="1" customWidth="1"/>
    <col min="10496" max="10496" width="51.1640625" style="1" customWidth="1"/>
    <col min="10497" max="10500" width="17.6640625" style="1" customWidth="1"/>
    <col min="10501" max="10503" width="17.83203125" style="1" customWidth="1"/>
    <col min="10504" max="10504" width="0" style="1" hidden="1" customWidth="1"/>
    <col min="10505" max="10505" width="17.83203125" style="1" customWidth="1"/>
    <col min="10506" max="10506" width="22.83203125" style="1" customWidth="1"/>
    <col min="10507" max="10509" width="17.83203125" style="1" customWidth="1"/>
    <col min="10510" max="10510" width="15.6640625" style="1" customWidth="1"/>
    <col min="10511" max="10511" width="22.33203125" style="1" customWidth="1"/>
    <col min="10512" max="10514" width="17.83203125" style="1" customWidth="1"/>
    <col min="10515" max="10515" width="22.6640625" style="1" customWidth="1"/>
    <col min="10516" max="10516" width="20.33203125" style="1" customWidth="1"/>
    <col min="10517" max="10517" width="8.33203125" style="1" customWidth="1"/>
    <col min="10518" max="10518" width="28.5" style="1" bestFit="1" customWidth="1"/>
    <col min="10519" max="10749" width="11.5" style="1"/>
    <col min="10750" max="10750" width="4.6640625" style="1" customWidth="1"/>
    <col min="10751" max="10751" width="10.1640625" style="1" customWidth="1"/>
    <col min="10752" max="10752" width="51.1640625" style="1" customWidth="1"/>
    <col min="10753" max="10756" width="17.6640625" style="1" customWidth="1"/>
    <col min="10757" max="10759" width="17.83203125" style="1" customWidth="1"/>
    <col min="10760" max="10760" width="0" style="1" hidden="1" customWidth="1"/>
    <col min="10761" max="10761" width="17.83203125" style="1" customWidth="1"/>
    <col min="10762" max="10762" width="22.83203125" style="1" customWidth="1"/>
    <col min="10763" max="10765" width="17.83203125" style="1" customWidth="1"/>
    <col min="10766" max="10766" width="15.6640625" style="1" customWidth="1"/>
    <col min="10767" max="10767" width="22.33203125" style="1" customWidth="1"/>
    <col min="10768" max="10770" width="17.83203125" style="1" customWidth="1"/>
    <col min="10771" max="10771" width="22.6640625" style="1" customWidth="1"/>
    <col min="10772" max="10772" width="20.33203125" style="1" customWidth="1"/>
    <col min="10773" max="10773" width="8.33203125" style="1" customWidth="1"/>
    <col min="10774" max="10774" width="28.5" style="1" bestFit="1" customWidth="1"/>
    <col min="10775" max="11005" width="11.5" style="1"/>
    <col min="11006" max="11006" width="4.6640625" style="1" customWidth="1"/>
    <col min="11007" max="11007" width="10.1640625" style="1" customWidth="1"/>
    <col min="11008" max="11008" width="51.1640625" style="1" customWidth="1"/>
    <col min="11009" max="11012" width="17.6640625" style="1" customWidth="1"/>
    <col min="11013" max="11015" width="17.83203125" style="1" customWidth="1"/>
    <col min="11016" max="11016" width="0" style="1" hidden="1" customWidth="1"/>
    <col min="11017" max="11017" width="17.83203125" style="1" customWidth="1"/>
    <col min="11018" max="11018" width="22.83203125" style="1" customWidth="1"/>
    <col min="11019" max="11021" width="17.83203125" style="1" customWidth="1"/>
    <col min="11022" max="11022" width="15.6640625" style="1" customWidth="1"/>
    <col min="11023" max="11023" width="22.33203125" style="1" customWidth="1"/>
    <col min="11024" max="11026" width="17.83203125" style="1" customWidth="1"/>
    <col min="11027" max="11027" width="22.6640625" style="1" customWidth="1"/>
    <col min="11028" max="11028" width="20.33203125" style="1" customWidth="1"/>
    <col min="11029" max="11029" width="8.33203125" style="1" customWidth="1"/>
    <col min="11030" max="11030" width="28.5" style="1" bestFit="1" customWidth="1"/>
    <col min="11031" max="11261" width="11.5" style="1"/>
    <col min="11262" max="11262" width="4.6640625" style="1" customWidth="1"/>
    <col min="11263" max="11263" width="10.1640625" style="1" customWidth="1"/>
    <col min="11264" max="11264" width="51.1640625" style="1" customWidth="1"/>
    <col min="11265" max="11268" width="17.6640625" style="1" customWidth="1"/>
    <col min="11269" max="11271" width="17.83203125" style="1" customWidth="1"/>
    <col min="11272" max="11272" width="0" style="1" hidden="1" customWidth="1"/>
    <col min="11273" max="11273" width="17.83203125" style="1" customWidth="1"/>
    <col min="11274" max="11274" width="22.83203125" style="1" customWidth="1"/>
    <col min="11275" max="11277" width="17.83203125" style="1" customWidth="1"/>
    <col min="11278" max="11278" width="15.6640625" style="1" customWidth="1"/>
    <col min="11279" max="11279" width="22.33203125" style="1" customWidth="1"/>
    <col min="11280" max="11282" width="17.83203125" style="1" customWidth="1"/>
    <col min="11283" max="11283" width="22.6640625" style="1" customWidth="1"/>
    <col min="11284" max="11284" width="20.33203125" style="1" customWidth="1"/>
    <col min="11285" max="11285" width="8.33203125" style="1" customWidth="1"/>
    <col min="11286" max="11286" width="28.5" style="1" bestFit="1" customWidth="1"/>
    <col min="11287" max="11517" width="11.5" style="1"/>
    <col min="11518" max="11518" width="4.6640625" style="1" customWidth="1"/>
    <col min="11519" max="11519" width="10.1640625" style="1" customWidth="1"/>
    <col min="11520" max="11520" width="51.1640625" style="1" customWidth="1"/>
    <col min="11521" max="11524" width="17.6640625" style="1" customWidth="1"/>
    <col min="11525" max="11527" width="17.83203125" style="1" customWidth="1"/>
    <col min="11528" max="11528" width="0" style="1" hidden="1" customWidth="1"/>
    <col min="11529" max="11529" width="17.83203125" style="1" customWidth="1"/>
    <col min="11530" max="11530" width="22.83203125" style="1" customWidth="1"/>
    <col min="11531" max="11533" width="17.83203125" style="1" customWidth="1"/>
    <col min="11534" max="11534" width="15.6640625" style="1" customWidth="1"/>
    <col min="11535" max="11535" width="22.33203125" style="1" customWidth="1"/>
    <col min="11536" max="11538" width="17.83203125" style="1" customWidth="1"/>
    <col min="11539" max="11539" width="22.6640625" style="1" customWidth="1"/>
    <col min="11540" max="11540" width="20.33203125" style="1" customWidth="1"/>
    <col min="11541" max="11541" width="8.33203125" style="1" customWidth="1"/>
    <col min="11542" max="11542" width="28.5" style="1" bestFit="1" customWidth="1"/>
    <col min="11543" max="11773" width="11.5" style="1"/>
    <col min="11774" max="11774" width="4.6640625" style="1" customWidth="1"/>
    <col min="11775" max="11775" width="10.1640625" style="1" customWidth="1"/>
    <col min="11776" max="11776" width="51.1640625" style="1" customWidth="1"/>
    <col min="11777" max="11780" width="17.6640625" style="1" customWidth="1"/>
    <col min="11781" max="11783" width="17.83203125" style="1" customWidth="1"/>
    <col min="11784" max="11784" width="0" style="1" hidden="1" customWidth="1"/>
    <col min="11785" max="11785" width="17.83203125" style="1" customWidth="1"/>
    <col min="11786" max="11786" width="22.83203125" style="1" customWidth="1"/>
    <col min="11787" max="11789" width="17.83203125" style="1" customWidth="1"/>
    <col min="11790" max="11790" width="15.6640625" style="1" customWidth="1"/>
    <col min="11791" max="11791" width="22.33203125" style="1" customWidth="1"/>
    <col min="11792" max="11794" width="17.83203125" style="1" customWidth="1"/>
    <col min="11795" max="11795" width="22.6640625" style="1" customWidth="1"/>
    <col min="11796" max="11796" width="20.33203125" style="1" customWidth="1"/>
    <col min="11797" max="11797" width="8.33203125" style="1" customWidth="1"/>
    <col min="11798" max="11798" width="28.5" style="1" bestFit="1" customWidth="1"/>
    <col min="11799" max="12029" width="11.5" style="1"/>
    <col min="12030" max="12030" width="4.6640625" style="1" customWidth="1"/>
    <col min="12031" max="12031" width="10.1640625" style="1" customWidth="1"/>
    <col min="12032" max="12032" width="51.1640625" style="1" customWidth="1"/>
    <col min="12033" max="12036" width="17.6640625" style="1" customWidth="1"/>
    <col min="12037" max="12039" width="17.83203125" style="1" customWidth="1"/>
    <col min="12040" max="12040" width="0" style="1" hidden="1" customWidth="1"/>
    <col min="12041" max="12041" width="17.83203125" style="1" customWidth="1"/>
    <col min="12042" max="12042" width="22.83203125" style="1" customWidth="1"/>
    <col min="12043" max="12045" width="17.83203125" style="1" customWidth="1"/>
    <col min="12046" max="12046" width="15.6640625" style="1" customWidth="1"/>
    <col min="12047" max="12047" width="22.33203125" style="1" customWidth="1"/>
    <col min="12048" max="12050" width="17.83203125" style="1" customWidth="1"/>
    <col min="12051" max="12051" width="22.6640625" style="1" customWidth="1"/>
    <col min="12052" max="12052" width="20.33203125" style="1" customWidth="1"/>
    <col min="12053" max="12053" width="8.33203125" style="1" customWidth="1"/>
    <col min="12054" max="12054" width="28.5" style="1" bestFit="1" customWidth="1"/>
    <col min="12055" max="12285" width="11.5" style="1"/>
    <col min="12286" max="12286" width="4.6640625" style="1" customWidth="1"/>
    <col min="12287" max="12287" width="10.1640625" style="1" customWidth="1"/>
    <col min="12288" max="12288" width="51.1640625" style="1" customWidth="1"/>
    <col min="12289" max="12292" width="17.6640625" style="1" customWidth="1"/>
    <col min="12293" max="12295" width="17.83203125" style="1" customWidth="1"/>
    <col min="12296" max="12296" width="0" style="1" hidden="1" customWidth="1"/>
    <col min="12297" max="12297" width="17.83203125" style="1" customWidth="1"/>
    <col min="12298" max="12298" width="22.83203125" style="1" customWidth="1"/>
    <col min="12299" max="12301" width="17.83203125" style="1" customWidth="1"/>
    <col min="12302" max="12302" width="15.6640625" style="1" customWidth="1"/>
    <col min="12303" max="12303" width="22.33203125" style="1" customWidth="1"/>
    <col min="12304" max="12306" width="17.83203125" style="1" customWidth="1"/>
    <col min="12307" max="12307" width="22.6640625" style="1" customWidth="1"/>
    <col min="12308" max="12308" width="20.33203125" style="1" customWidth="1"/>
    <col min="12309" max="12309" width="8.33203125" style="1" customWidth="1"/>
    <col min="12310" max="12310" width="28.5" style="1" bestFit="1" customWidth="1"/>
    <col min="12311" max="12541" width="11.5" style="1"/>
    <col min="12542" max="12542" width="4.6640625" style="1" customWidth="1"/>
    <col min="12543" max="12543" width="10.1640625" style="1" customWidth="1"/>
    <col min="12544" max="12544" width="51.1640625" style="1" customWidth="1"/>
    <col min="12545" max="12548" width="17.6640625" style="1" customWidth="1"/>
    <col min="12549" max="12551" width="17.83203125" style="1" customWidth="1"/>
    <col min="12552" max="12552" width="0" style="1" hidden="1" customWidth="1"/>
    <col min="12553" max="12553" width="17.83203125" style="1" customWidth="1"/>
    <col min="12554" max="12554" width="22.83203125" style="1" customWidth="1"/>
    <col min="12555" max="12557" width="17.83203125" style="1" customWidth="1"/>
    <col min="12558" max="12558" width="15.6640625" style="1" customWidth="1"/>
    <col min="12559" max="12559" width="22.33203125" style="1" customWidth="1"/>
    <col min="12560" max="12562" width="17.83203125" style="1" customWidth="1"/>
    <col min="12563" max="12563" width="22.6640625" style="1" customWidth="1"/>
    <col min="12564" max="12564" width="20.33203125" style="1" customWidth="1"/>
    <col min="12565" max="12565" width="8.33203125" style="1" customWidth="1"/>
    <col min="12566" max="12566" width="28.5" style="1" bestFit="1" customWidth="1"/>
    <col min="12567" max="12797" width="11.5" style="1"/>
    <col min="12798" max="12798" width="4.6640625" style="1" customWidth="1"/>
    <col min="12799" max="12799" width="10.1640625" style="1" customWidth="1"/>
    <col min="12800" max="12800" width="51.1640625" style="1" customWidth="1"/>
    <col min="12801" max="12804" width="17.6640625" style="1" customWidth="1"/>
    <col min="12805" max="12807" width="17.83203125" style="1" customWidth="1"/>
    <col min="12808" max="12808" width="0" style="1" hidden="1" customWidth="1"/>
    <col min="12809" max="12809" width="17.83203125" style="1" customWidth="1"/>
    <col min="12810" max="12810" width="22.83203125" style="1" customWidth="1"/>
    <col min="12811" max="12813" width="17.83203125" style="1" customWidth="1"/>
    <col min="12814" max="12814" width="15.6640625" style="1" customWidth="1"/>
    <col min="12815" max="12815" width="22.33203125" style="1" customWidth="1"/>
    <col min="12816" max="12818" width="17.83203125" style="1" customWidth="1"/>
    <col min="12819" max="12819" width="22.6640625" style="1" customWidth="1"/>
    <col min="12820" max="12820" width="20.33203125" style="1" customWidth="1"/>
    <col min="12821" max="12821" width="8.33203125" style="1" customWidth="1"/>
    <col min="12822" max="12822" width="28.5" style="1" bestFit="1" customWidth="1"/>
    <col min="12823" max="13053" width="11.5" style="1"/>
    <col min="13054" max="13054" width="4.6640625" style="1" customWidth="1"/>
    <col min="13055" max="13055" width="10.1640625" style="1" customWidth="1"/>
    <col min="13056" max="13056" width="51.1640625" style="1" customWidth="1"/>
    <col min="13057" max="13060" width="17.6640625" style="1" customWidth="1"/>
    <col min="13061" max="13063" width="17.83203125" style="1" customWidth="1"/>
    <col min="13064" max="13064" width="0" style="1" hidden="1" customWidth="1"/>
    <col min="13065" max="13065" width="17.83203125" style="1" customWidth="1"/>
    <col min="13066" max="13066" width="22.83203125" style="1" customWidth="1"/>
    <col min="13067" max="13069" width="17.83203125" style="1" customWidth="1"/>
    <col min="13070" max="13070" width="15.6640625" style="1" customWidth="1"/>
    <col min="13071" max="13071" width="22.33203125" style="1" customWidth="1"/>
    <col min="13072" max="13074" width="17.83203125" style="1" customWidth="1"/>
    <col min="13075" max="13075" width="22.6640625" style="1" customWidth="1"/>
    <col min="13076" max="13076" width="20.33203125" style="1" customWidth="1"/>
    <col min="13077" max="13077" width="8.33203125" style="1" customWidth="1"/>
    <col min="13078" max="13078" width="28.5" style="1" bestFit="1" customWidth="1"/>
    <col min="13079" max="13309" width="11.5" style="1"/>
    <col min="13310" max="13310" width="4.6640625" style="1" customWidth="1"/>
    <col min="13311" max="13311" width="10.1640625" style="1" customWidth="1"/>
    <col min="13312" max="13312" width="51.1640625" style="1" customWidth="1"/>
    <col min="13313" max="13316" width="17.6640625" style="1" customWidth="1"/>
    <col min="13317" max="13319" width="17.83203125" style="1" customWidth="1"/>
    <col min="13320" max="13320" width="0" style="1" hidden="1" customWidth="1"/>
    <col min="13321" max="13321" width="17.83203125" style="1" customWidth="1"/>
    <col min="13322" max="13322" width="22.83203125" style="1" customWidth="1"/>
    <col min="13323" max="13325" width="17.83203125" style="1" customWidth="1"/>
    <col min="13326" max="13326" width="15.6640625" style="1" customWidth="1"/>
    <col min="13327" max="13327" width="22.33203125" style="1" customWidth="1"/>
    <col min="13328" max="13330" width="17.83203125" style="1" customWidth="1"/>
    <col min="13331" max="13331" width="22.6640625" style="1" customWidth="1"/>
    <col min="13332" max="13332" width="20.33203125" style="1" customWidth="1"/>
    <col min="13333" max="13333" width="8.33203125" style="1" customWidth="1"/>
    <col min="13334" max="13334" width="28.5" style="1" bestFit="1" customWidth="1"/>
    <col min="13335" max="13565" width="11.5" style="1"/>
    <col min="13566" max="13566" width="4.6640625" style="1" customWidth="1"/>
    <col min="13567" max="13567" width="10.1640625" style="1" customWidth="1"/>
    <col min="13568" max="13568" width="51.1640625" style="1" customWidth="1"/>
    <col min="13569" max="13572" width="17.6640625" style="1" customWidth="1"/>
    <col min="13573" max="13575" width="17.83203125" style="1" customWidth="1"/>
    <col min="13576" max="13576" width="0" style="1" hidden="1" customWidth="1"/>
    <col min="13577" max="13577" width="17.83203125" style="1" customWidth="1"/>
    <col min="13578" max="13578" width="22.83203125" style="1" customWidth="1"/>
    <col min="13579" max="13581" width="17.83203125" style="1" customWidth="1"/>
    <col min="13582" max="13582" width="15.6640625" style="1" customWidth="1"/>
    <col min="13583" max="13583" width="22.33203125" style="1" customWidth="1"/>
    <col min="13584" max="13586" width="17.83203125" style="1" customWidth="1"/>
    <col min="13587" max="13587" width="22.6640625" style="1" customWidth="1"/>
    <col min="13588" max="13588" width="20.33203125" style="1" customWidth="1"/>
    <col min="13589" max="13589" width="8.33203125" style="1" customWidth="1"/>
    <col min="13590" max="13590" width="28.5" style="1" bestFit="1" customWidth="1"/>
    <col min="13591" max="13821" width="11.5" style="1"/>
    <col min="13822" max="13822" width="4.6640625" style="1" customWidth="1"/>
    <col min="13823" max="13823" width="10.1640625" style="1" customWidth="1"/>
    <col min="13824" max="13824" width="51.1640625" style="1" customWidth="1"/>
    <col min="13825" max="13828" width="17.6640625" style="1" customWidth="1"/>
    <col min="13829" max="13831" width="17.83203125" style="1" customWidth="1"/>
    <col min="13832" max="13832" width="0" style="1" hidden="1" customWidth="1"/>
    <col min="13833" max="13833" width="17.83203125" style="1" customWidth="1"/>
    <col min="13834" max="13834" width="22.83203125" style="1" customWidth="1"/>
    <col min="13835" max="13837" width="17.83203125" style="1" customWidth="1"/>
    <col min="13838" max="13838" width="15.6640625" style="1" customWidth="1"/>
    <col min="13839" max="13839" width="22.33203125" style="1" customWidth="1"/>
    <col min="13840" max="13842" width="17.83203125" style="1" customWidth="1"/>
    <col min="13843" max="13843" width="22.6640625" style="1" customWidth="1"/>
    <col min="13844" max="13844" width="20.33203125" style="1" customWidth="1"/>
    <col min="13845" max="13845" width="8.33203125" style="1" customWidth="1"/>
    <col min="13846" max="13846" width="28.5" style="1" bestFit="1" customWidth="1"/>
    <col min="13847" max="14077" width="11.5" style="1"/>
    <col min="14078" max="14078" width="4.6640625" style="1" customWidth="1"/>
    <col min="14079" max="14079" width="10.1640625" style="1" customWidth="1"/>
    <col min="14080" max="14080" width="51.1640625" style="1" customWidth="1"/>
    <col min="14081" max="14084" width="17.6640625" style="1" customWidth="1"/>
    <col min="14085" max="14087" width="17.83203125" style="1" customWidth="1"/>
    <col min="14088" max="14088" width="0" style="1" hidden="1" customWidth="1"/>
    <col min="14089" max="14089" width="17.83203125" style="1" customWidth="1"/>
    <col min="14090" max="14090" width="22.83203125" style="1" customWidth="1"/>
    <col min="14091" max="14093" width="17.83203125" style="1" customWidth="1"/>
    <col min="14094" max="14094" width="15.6640625" style="1" customWidth="1"/>
    <col min="14095" max="14095" width="22.33203125" style="1" customWidth="1"/>
    <col min="14096" max="14098" width="17.83203125" style="1" customWidth="1"/>
    <col min="14099" max="14099" width="22.6640625" style="1" customWidth="1"/>
    <col min="14100" max="14100" width="20.33203125" style="1" customWidth="1"/>
    <col min="14101" max="14101" width="8.33203125" style="1" customWidth="1"/>
    <col min="14102" max="14102" width="28.5" style="1" bestFit="1" customWidth="1"/>
    <col min="14103" max="14333" width="11.5" style="1"/>
    <col min="14334" max="14334" width="4.6640625" style="1" customWidth="1"/>
    <col min="14335" max="14335" width="10.1640625" style="1" customWidth="1"/>
    <col min="14336" max="14336" width="51.1640625" style="1" customWidth="1"/>
    <col min="14337" max="14340" width="17.6640625" style="1" customWidth="1"/>
    <col min="14341" max="14343" width="17.83203125" style="1" customWidth="1"/>
    <col min="14344" max="14344" width="0" style="1" hidden="1" customWidth="1"/>
    <col min="14345" max="14345" width="17.83203125" style="1" customWidth="1"/>
    <col min="14346" max="14346" width="22.83203125" style="1" customWidth="1"/>
    <col min="14347" max="14349" width="17.83203125" style="1" customWidth="1"/>
    <col min="14350" max="14350" width="15.6640625" style="1" customWidth="1"/>
    <col min="14351" max="14351" width="22.33203125" style="1" customWidth="1"/>
    <col min="14352" max="14354" width="17.83203125" style="1" customWidth="1"/>
    <col min="14355" max="14355" width="22.6640625" style="1" customWidth="1"/>
    <col min="14356" max="14356" width="20.33203125" style="1" customWidth="1"/>
    <col min="14357" max="14357" width="8.33203125" style="1" customWidth="1"/>
    <col min="14358" max="14358" width="28.5" style="1" bestFit="1" customWidth="1"/>
    <col min="14359" max="14589" width="11.5" style="1"/>
    <col min="14590" max="14590" width="4.6640625" style="1" customWidth="1"/>
    <col min="14591" max="14591" width="10.1640625" style="1" customWidth="1"/>
    <col min="14592" max="14592" width="51.1640625" style="1" customWidth="1"/>
    <col min="14593" max="14596" width="17.6640625" style="1" customWidth="1"/>
    <col min="14597" max="14599" width="17.83203125" style="1" customWidth="1"/>
    <col min="14600" max="14600" width="0" style="1" hidden="1" customWidth="1"/>
    <col min="14601" max="14601" width="17.83203125" style="1" customWidth="1"/>
    <col min="14602" max="14602" width="22.83203125" style="1" customWidth="1"/>
    <col min="14603" max="14605" width="17.83203125" style="1" customWidth="1"/>
    <col min="14606" max="14606" width="15.6640625" style="1" customWidth="1"/>
    <col min="14607" max="14607" width="22.33203125" style="1" customWidth="1"/>
    <col min="14608" max="14610" width="17.83203125" style="1" customWidth="1"/>
    <col min="14611" max="14611" width="22.6640625" style="1" customWidth="1"/>
    <col min="14612" max="14612" width="20.33203125" style="1" customWidth="1"/>
    <col min="14613" max="14613" width="8.33203125" style="1" customWidth="1"/>
    <col min="14614" max="14614" width="28.5" style="1" bestFit="1" customWidth="1"/>
    <col min="14615" max="14845" width="11.5" style="1"/>
    <col min="14846" max="14846" width="4.6640625" style="1" customWidth="1"/>
    <col min="14847" max="14847" width="10.1640625" style="1" customWidth="1"/>
    <col min="14848" max="14848" width="51.1640625" style="1" customWidth="1"/>
    <col min="14849" max="14852" width="17.6640625" style="1" customWidth="1"/>
    <col min="14853" max="14855" width="17.83203125" style="1" customWidth="1"/>
    <col min="14856" max="14856" width="0" style="1" hidden="1" customWidth="1"/>
    <col min="14857" max="14857" width="17.83203125" style="1" customWidth="1"/>
    <col min="14858" max="14858" width="22.83203125" style="1" customWidth="1"/>
    <col min="14859" max="14861" width="17.83203125" style="1" customWidth="1"/>
    <col min="14862" max="14862" width="15.6640625" style="1" customWidth="1"/>
    <col min="14863" max="14863" width="22.33203125" style="1" customWidth="1"/>
    <col min="14864" max="14866" width="17.83203125" style="1" customWidth="1"/>
    <col min="14867" max="14867" width="22.6640625" style="1" customWidth="1"/>
    <col min="14868" max="14868" width="20.33203125" style="1" customWidth="1"/>
    <col min="14869" max="14869" width="8.33203125" style="1" customWidth="1"/>
    <col min="14870" max="14870" width="28.5" style="1" bestFit="1" customWidth="1"/>
    <col min="14871" max="15101" width="11.5" style="1"/>
    <col min="15102" max="15102" width="4.6640625" style="1" customWidth="1"/>
    <col min="15103" max="15103" width="10.1640625" style="1" customWidth="1"/>
    <col min="15104" max="15104" width="51.1640625" style="1" customWidth="1"/>
    <col min="15105" max="15108" width="17.6640625" style="1" customWidth="1"/>
    <col min="15109" max="15111" width="17.83203125" style="1" customWidth="1"/>
    <col min="15112" max="15112" width="0" style="1" hidden="1" customWidth="1"/>
    <col min="15113" max="15113" width="17.83203125" style="1" customWidth="1"/>
    <col min="15114" max="15114" width="22.83203125" style="1" customWidth="1"/>
    <col min="15115" max="15117" width="17.83203125" style="1" customWidth="1"/>
    <col min="15118" max="15118" width="15.6640625" style="1" customWidth="1"/>
    <col min="15119" max="15119" width="22.33203125" style="1" customWidth="1"/>
    <col min="15120" max="15122" width="17.83203125" style="1" customWidth="1"/>
    <col min="15123" max="15123" width="22.6640625" style="1" customWidth="1"/>
    <col min="15124" max="15124" width="20.33203125" style="1" customWidth="1"/>
    <col min="15125" max="15125" width="8.33203125" style="1" customWidth="1"/>
    <col min="15126" max="15126" width="28.5" style="1" bestFit="1" customWidth="1"/>
    <col min="15127" max="15357" width="11.5" style="1"/>
    <col min="15358" max="15358" width="4.6640625" style="1" customWidth="1"/>
    <col min="15359" max="15359" width="10.1640625" style="1" customWidth="1"/>
    <col min="15360" max="15360" width="51.1640625" style="1" customWidth="1"/>
    <col min="15361" max="15364" width="17.6640625" style="1" customWidth="1"/>
    <col min="15365" max="15367" width="17.83203125" style="1" customWidth="1"/>
    <col min="15368" max="15368" width="0" style="1" hidden="1" customWidth="1"/>
    <col min="15369" max="15369" width="17.83203125" style="1" customWidth="1"/>
    <col min="15370" max="15370" width="22.83203125" style="1" customWidth="1"/>
    <col min="15371" max="15373" width="17.83203125" style="1" customWidth="1"/>
    <col min="15374" max="15374" width="15.6640625" style="1" customWidth="1"/>
    <col min="15375" max="15375" width="22.33203125" style="1" customWidth="1"/>
    <col min="15376" max="15378" width="17.83203125" style="1" customWidth="1"/>
    <col min="15379" max="15379" width="22.6640625" style="1" customWidth="1"/>
    <col min="15380" max="15380" width="20.33203125" style="1" customWidth="1"/>
    <col min="15381" max="15381" width="8.33203125" style="1" customWidth="1"/>
    <col min="15382" max="15382" width="28.5" style="1" bestFit="1" customWidth="1"/>
    <col min="15383" max="15613" width="11.5" style="1"/>
    <col min="15614" max="15614" width="4.6640625" style="1" customWidth="1"/>
    <col min="15615" max="15615" width="10.1640625" style="1" customWidth="1"/>
    <col min="15616" max="15616" width="51.1640625" style="1" customWidth="1"/>
    <col min="15617" max="15620" width="17.6640625" style="1" customWidth="1"/>
    <col min="15621" max="15623" width="17.83203125" style="1" customWidth="1"/>
    <col min="15624" max="15624" width="0" style="1" hidden="1" customWidth="1"/>
    <col min="15625" max="15625" width="17.83203125" style="1" customWidth="1"/>
    <col min="15626" max="15626" width="22.83203125" style="1" customWidth="1"/>
    <col min="15627" max="15629" width="17.83203125" style="1" customWidth="1"/>
    <col min="15630" max="15630" width="15.6640625" style="1" customWidth="1"/>
    <col min="15631" max="15631" width="22.33203125" style="1" customWidth="1"/>
    <col min="15632" max="15634" width="17.83203125" style="1" customWidth="1"/>
    <col min="15635" max="15635" width="22.6640625" style="1" customWidth="1"/>
    <col min="15636" max="15636" width="20.33203125" style="1" customWidth="1"/>
    <col min="15637" max="15637" width="8.33203125" style="1" customWidth="1"/>
    <col min="15638" max="15638" width="28.5" style="1" bestFit="1" customWidth="1"/>
    <col min="15639" max="15869" width="11.5" style="1"/>
    <col min="15870" max="15870" width="4.6640625" style="1" customWidth="1"/>
    <col min="15871" max="15871" width="10.1640625" style="1" customWidth="1"/>
    <col min="15872" max="15872" width="51.1640625" style="1" customWidth="1"/>
    <col min="15873" max="15876" width="17.6640625" style="1" customWidth="1"/>
    <col min="15877" max="15879" width="17.83203125" style="1" customWidth="1"/>
    <col min="15880" max="15880" width="0" style="1" hidden="1" customWidth="1"/>
    <col min="15881" max="15881" width="17.83203125" style="1" customWidth="1"/>
    <col min="15882" max="15882" width="22.83203125" style="1" customWidth="1"/>
    <col min="15883" max="15885" width="17.83203125" style="1" customWidth="1"/>
    <col min="15886" max="15886" width="15.6640625" style="1" customWidth="1"/>
    <col min="15887" max="15887" width="22.33203125" style="1" customWidth="1"/>
    <col min="15888" max="15890" width="17.83203125" style="1" customWidth="1"/>
    <col min="15891" max="15891" width="22.6640625" style="1" customWidth="1"/>
    <col min="15892" max="15892" width="20.33203125" style="1" customWidth="1"/>
    <col min="15893" max="15893" width="8.33203125" style="1" customWidth="1"/>
    <col min="15894" max="15894" width="28.5" style="1" bestFit="1" customWidth="1"/>
    <col min="15895" max="16125" width="11.5" style="1"/>
    <col min="16126" max="16126" width="4.6640625" style="1" customWidth="1"/>
    <col min="16127" max="16127" width="10.1640625" style="1" customWidth="1"/>
    <col min="16128" max="16128" width="51.1640625" style="1" customWidth="1"/>
    <col min="16129" max="16132" width="17.6640625" style="1" customWidth="1"/>
    <col min="16133" max="16135" width="17.83203125" style="1" customWidth="1"/>
    <col min="16136" max="16136" width="0" style="1" hidden="1" customWidth="1"/>
    <col min="16137" max="16137" width="17.83203125" style="1" customWidth="1"/>
    <col min="16138" max="16138" width="22.83203125" style="1" customWidth="1"/>
    <col min="16139" max="16141" width="17.83203125" style="1" customWidth="1"/>
    <col min="16142" max="16142" width="15.6640625" style="1" customWidth="1"/>
    <col min="16143" max="16143" width="22.33203125" style="1" customWidth="1"/>
    <col min="16144" max="16146" width="17.83203125" style="1" customWidth="1"/>
    <col min="16147" max="16147" width="22.6640625" style="1" customWidth="1"/>
    <col min="16148" max="16148" width="20.33203125" style="1" customWidth="1"/>
    <col min="16149" max="16149" width="8.33203125" style="1" customWidth="1"/>
    <col min="16150" max="16150" width="28.5" style="1" bestFit="1" customWidth="1"/>
    <col min="16151" max="16384" width="11.5" style="1"/>
  </cols>
  <sheetData>
    <row r="12" spans="2:20" ht="81" customHeight="1">
      <c r="B12" s="123" t="s">
        <v>0</v>
      </c>
      <c r="C12" s="123"/>
      <c r="D12" s="3"/>
      <c r="E12" s="29"/>
      <c r="F12" s="29"/>
      <c r="G12" s="30"/>
      <c r="H12" s="2"/>
      <c r="I12" s="3"/>
      <c r="J12" s="3"/>
      <c r="K12" s="3"/>
      <c r="L12" s="3"/>
      <c r="M12" s="3"/>
      <c r="N12" s="3"/>
      <c r="O12" s="4"/>
      <c r="P12" s="3"/>
      <c r="Q12" s="32"/>
      <c r="R12" s="5"/>
      <c r="S12" s="3"/>
      <c r="T12" s="1"/>
    </row>
    <row r="13" spans="2:20" ht="56" customHeight="1">
      <c r="B13" s="123" t="s">
        <v>1</v>
      </c>
      <c r="C13" s="123"/>
      <c r="D13" s="3"/>
      <c r="E13" s="31"/>
      <c r="F13" s="31"/>
      <c r="H13" s="122" t="s">
        <v>78</v>
      </c>
      <c r="I13" s="37"/>
      <c r="J13" s="6"/>
      <c r="K13" s="3"/>
      <c r="L13" s="3"/>
      <c r="M13" s="3"/>
      <c r="N13" s="3"/>
      <c r="P13" s="3"/>
      <c r="Q13" s="32"/>
      <c r="R13" s="5"/>
      <c r="S13" s="3"/>
      <c r="T13" s="1"/>
    </row>
    <row r="14" spans="2:20" s="8" customFormat="1" ht="65" customHeight="1">
      <c r="B14" s="123" t="s">
        <v>2</v>
      </c>
      <c r="C14" s="123"/>
      <c r="D14" s="3"/>
      <c r="E14" s="29"/>
      <c r="F14" s="29"/>
      <c r="G14" s="30"/>
      <c r="H14" s="2"/>
      <c r="I14" s="3"/>
      <c r="J14" s="3"/>
      <c r="K14" s="3"/>
      <c r="L14" s="3"/>
      <c r="M14" s="3"/>
      <c r="N14" s="3"/>
      <c r="O14" s="4"/>
      <c r="P14" s="3"/>
      <c r="Q14" s="32"/>
      <c r="R14" s="5"/>
      <c r="S14" s="3"/>
      <c r="T14" s="1"/>
    </row>
    <row r="15" spans="2:20" ht="12.75" customHeight="1">
      <c r="T15" s="14"/>
    </row>
    <row r="16" spans="2:20" s="15" customFormat="1" ht="147" customHeight="1">
      <c r="B16" s="38" t="s">
        <v>3</v>
      </c>
      <c r="C16" s="38" t="s">
        <v>4</v>
      </c>
      <c r="D16" s="38" t="s">
        <v>18</v>
      </c>
      <c r="E16" s="39" t="s">
        <v>7</v>
      </c>
      <c r="F16" s="39" t="s">
        <v>8</v>
      </c>
      <c r="G16" s="39" t="s">
        <v>17</v>
      </c>
      <c r="H16" s="40" t="s">
        <v>10</v>
      </c>
      <c r="I16" s="39" t="s">
        <v>11</v>
      </c>
      <c r="J16" s="39" t="s">
        <v>19</v>
      </c>
      <c r="K16" s="39" t="s">
        <v>20</v>
      </c>
      <c r="L16" s="39" t="s">
        <v>44</v>
      </c>
      <c r="M16" s="39" t="s">
        <v>21</v>
      </c>
      <c r="N16" s="39" t="s">
        <v>22</v>
      </c>
      <c r="O16" s="41" t="s">
        <v>23</v>
      </c>
      <c r="P16" s="38" t="s">
        <v>24</v>
      </c>
      <c r="Q16" s="42" t="s">
        <v>25</v>
      </c>
      <c r="R16" s="43" t="s">
        <v>12</v>
      </c>
      <c r="S16" s="44" t="s">
        <v>13</v>
      </c>
      <c r="T16" s="45" t="s">
        <v>14</v>
      </c>
    </row>
    <row r="17" spans="1:21" s="17" customFormat="1" ht="68" customHeight="1">
      <c r="A17" s="16"/>
      <c r="B17" s="46">
        <v>1</v>
      </c>
      <c r="C17" s="181" t="s">
        <v>64</v>
      </c>
      <c r="D17" s="182" t="s">
        <v>60</v>
      </c>
      <c r="E17" s="183" t="s">
        <v>80</v>
      </c>
      <c r="F17" s="183" t="s">
        <v>81</v>
      </c>
      <c r="G17" s="184" t="s">
        <v>82</v>
      </c>
      <c r="H17" s="185">
        <v>46204</v>
      </c>
      <c r="I17" s="195" t="s">
        <v>83</v>
      </c>
      <c r="J17" s="184" t="s">
        <v>68</v>
      </c>
      <c r="K17" s="184"/>
      <c r="L17" s="184"/>
      <c r="M17" s="195"/>
      <c r="N17" s="195"/>
      <c r="O17" s="186"/>
      <c r="P17" s="187"/>
      <c r="Q17" s="188">
        <v>30140000</v>
      </c>
      <c r="R17" s="189">
        <f>Q17*10%</f>
        <v>3014000</v>
      </c>
      <c r="S17" s="190">
        <f>SUM(Q17:R17)</f>
        <v>33154000</v>
      </c>
      <c r="T17" s="191">
        <f>SUM(S17:S17)</f>
        <v>33154000</v>
      </c>
      <c r="U17" s="316">
        <f>T17+T18+T19</f>
        <v>219010000</v>
      </c>
    </row>
    <row r="18" spans="1:21" s="17" customFormat="1" ht="68" customHeight="1">
      <c r="A18" s="16"/>
      <c r="B18" s="46">
        <v>2</v>
      </c>
      <c r="C18" s="194"/>
      <c r="D18" s="47" t="s">
        <v>65</v>
      </c>
      <c r="E18" s="192"/>
      <c r="F18" s="48"/>
      <c r="G18" s="49"/>
      <c r="H18" s="50"/>
      <c r="I18" s="54"/>
      <c r="J18" s="49" t="s">
        <v>68</v>
      </c>
      <c r="K18" s="49"/>
      <c r="L18" s="49"/>
      <c r="M18" s="54"/>
      <c r="N18" s="54"/>
      <c r="O18" s="51"/>
      <c r="P18" s="56"/>
      <c r="Q18" s="52">
        <v>29260000</v>
      </c>
      <c r="R18" s="53">
        <f t="shared" ref="R18:R30" si="0">Q18*10%</f>
        <v>2926000</v>
      </c>
      <c r="S18" s="169">
        <f t="shared" ref="S18:S30" si="1">SUM(Q18:R18)</f>
        <v>32186000</v>
      </c>
      <c r="T18" s="116">
        <f t="shared" ref="T18:T30" si="2">SUM(S18:S18)</f>
        <v>32186000</v>
      </c>
      <c r="U18" s="317"/>
    </row>
    <row r="19" spans="1:21" s="17" customFormat="1" ht="68" customHeight="1">
      <c r="A19" s="16"/>
      <c r="B19" s="46">
        <v>3</v>
      </c>
      <c r="C19" s="55"/>
      <c r="D19" s="47" t="s">
        <v>71</v>
      </c>
      <c r="E19" s="48"/>
      <c r="F19" s="48"/>
      <c r="G19" s="49"/>
      <c r="H19" s="50"/>
      <c r="I19" s="54"/>
      <c r="J19" s="49" t="s">
        <v>68</v>
      </c>
      <c r="K19" s="49"/>
      <c r="L19" s="49"/>
      <c r="M19" s="54"/>
      <c r="N19" s="54"/>
      <c r="O19" s="51"/>
      <c r="P19" s="56"/>
      <c r="Q19" s="52">
        <v>139700000</v>
      </c>
      <c r="R19" s="53">
        <f t="shared" si="0"/>
        <v>13970000</v>
      </c>
      <c r="S19" s="169">
        <f t="shared" si="1"/>
        <v>153670000</v>
      </c>
      <c r="T19" s="116">
        <f t="shared" si="2"/>
        <v>153670000</v>
      </c>
      <c r="U19" s="318"/>
    </row>
    <row r="20" spans="1:21" s="17" customFormat="1" ht="68" customHeight="1">
      <c r="A20" s="16"/>
      <c r="B20" s="46">
        <v>4</v>
      </c>
      <c r="C20" s="156" t="s">
        <v>220</v>
      </c>
      <c r="D20" s="134" t="s">
        <v>75</v>
      </c>
      <c r="E20" s="135" t="s">
        <v>66</v>
      </c>
      <c r="F20" s="135" t="s">
        <v>81</v>
      </c>
      <c r="G20" s="136" t="s">
        <v>221</v>
      </c>
      <c r="H20" s="137">
        <v>46205</v>
      </c>
      <c r="I20" s="196" t="s">
        <v>222</v>
      </c>
      <c r="J20" s="136" t="s">
        <v>62</v>
      </c>
      <c r="K20" s="136"/>
      <c r="L20" s="136"/>
      <c r="M20" s="196"/>
      <c r="N20" s="196"/>
      <c r="O20" s="138"/>
      <c r="P20" s="139">
        <v>3098.7</v>
      </c>
      <c r="Q20" s="140">
        <v>63945900</v>
      </c>
      <c r="R20" s="141">
        <f>Q20*10%</f>
        <v>6394590</v>
      </c>
      <c r="S20" s="142">
        <f>SUM(Q20:R20)</f>
        <v>70340490</v>
      </c>
      <c r="T20" s="143">
        <f>SUM(S20:S20)</f>
        <v>70340490</v>
      </c>
      <c r="U20" s="65">
        <f>T20</f>
        <v>70340490</v>
      </c>
    </row>
    <row r="21" spans="1:21" s="17" customFormat="1" ht="68" customHeight="1">
      <c r="A21" s="16"/>
      <c r="B21" s="46">
        <v>5</v>
      </c>
      <c r="C21" s="167" t="s">
        <v>220</v>
      </c>
      <c r="D21" s="157" t="s">
        <v>70</v>
      </c>
      <c r="E21" s="158" t="s">
        <v>66</v>
      </c>
      <c r="F21" s="158" t="s">
        <v>229</v>
      </c>
      <c r="G21" s="159" t="s">
        <v>230</v>
      </c>
      <c r="H21" s="160">
        <v>46205</v>
      </c>
      <c r="I21" s="161" t="s">
        <v>231</v>
      </c>
      <c r="J21" s="159" t="s">
        <v>76</v>
      </c>
      <c r="K21" s="159"/>
      <c r="L21" s="159"/>
      <c r="M21" s="161"/>
      <c r="N21" s="161"/>
      <c r="O21" s="197"/>
      <c r="P21" s="162">
        <v>2424</v>
      </c>
      <c r="Q21" s="163">
        <v>55024800</v>
      </c>
      <c r="R21" s="164">
        <f t="shared" si="0"/>
        <v>5502480</v>
      </c>
      <c r="S21" s="165">
        <f t="shared" si="1"/>
        <v>60527280</v>
      </c>
      <c r="T21" s="166">
        <f t="shared" si="2"/>
        <v>60527280</v>
      </c>
      <c r="U21" s="316">
        <f>T21+T22</f>
        <v>75659100</v>
      </c>
    </row>
    <row r="22" spans="1:21" s="17" customFormat="1" ht="68" customHeight="1">
      <c r="A22" s="16"/>
      <c r="B22" s="46">
        <v>6</v>
      </c>
      <c r="C22" s="55"/>
      <c r="D22" s="47" t="s">
        <v>228</v>
      </c>
      <c r="E22" s="48"/>
      <c r="F22" s="48"/>
      <c r="G22" s="49"/>
      <c r="H22" s="50"/>
      <c r="I22" s="54"/>
      <c r="J22" s="49" t="s">
        <v>58</v>
      </c>
      <c r="K22" s="49"/>
      <c r="L22" s="49"/>
      <c r="M22" s="54"/>
      <c r="N22" s="54"/>
      <c r="O22" s="51"/>
      <c r="P22" s="56">
        <v>606</v>
      </c>
      <c r="Q22" s="52">
        <v>13756200</v>
      </c>
      <c r="R22" s="53">
        <f t="shared" si="0"/>
        <v>1375620</v>
      </c>
      <c r="S22" s="169">
        <f t="shared" si="1"/>
        <v>15131820</v>
      </c>
      <c r="T22" s="116">
        <f t="shared" si="2"/>
        <v>15131820</v>
      </c>
      <c r="U22" s="318"/>
    </row>
    <row r="23" spans="1:21" s="17" customFormat="1" ht="68" customHeight="1">
      <c r="A23" s="16"/>
      <c r="B23" s="46">
        <v>7</v>
      </c>
      <c r="C23" s="170" t="s">
        <v>237</v>
      </c>
      <c r="D23" s="170" t="s">
        <v>74</v>
      </c>
      <c r="E23" s="171" t="s">
        <v>67</v>
      </c>
      <c r="F23" s="171" t="s">
        <v>238</v>
      </c>
      <c r="G23" s="172" t="s">
        <v>239</v>
      </c>
      <c r="H23" s="173">
        <v>46205</v>
      </c>
      <c r="I23" s="174" t="s">
        <v>240</v>
      </c>
      <c r="J23" s="172" t="s">
        <v>241</v>
      </c>
      <c r="K23" s="172"/>
      <c r="L23" s="172"/>
      <c r="M23" s="174"/>
      <c r="N23" s="174"/>
      <c r="O23" s="175"/>
      <c r="P23" s="176">
        <v>6462</v>
      </c>
      <c r="Q23" s="177">
        <v>146687400</v>
      </c>
      <c r="R23" s="178">
        <f t="shared" si="0"/>
        <v>14668740</v>
      </c>
      <c r="S23" s="179">
        <f t="shared" si="1"/>
        <v>161356140</v>
      </c>
      <c r="T23" s="180">
        <f t="shared" si="2"/>
        <v>161356140</v>
      </c>
      <c r="U23" s="316">
        <f>T23+T24+T25</f>
        <v>387783110</v>
      </c>
    </row>
    <row r="24" spans="1:21" s="17" customFormat="1" ht="68" customHeight="1">
      <c r="A24" s="16"/>
      <c r="B24" s="46">
        <v>8</v>
      </c>
      <c r="C24" s="47"/>
      <c r="D24" s="47" t="s">
        <v>75</v>
      </c>
      <c r="E24" s="48"/>
      <c r="F24" s="48"/>
      <c r="G24" s="49"/>
      <c r="H24" s="50"/>
      <c r="I24" s="54"/>
      <c r="J24" s="49" t="s">
        <v>241</v>
      </c>
      <c r="K24" s="49"/>
      <c r="L24" s="49"/>
      <c r="M24" s="54"/>
      <c r="N24" s="54"/>
      <c r="O24" s="51"/>
      <c r="P24" s="56">
        <v>8451</v>
      </c>
      <c r="Q24" s="52">
        <v>191837700</v>
      </c>
      <c r="R24" s="53">
        <f t="shared" si="0"/>
        <v>19183770</v>
      </c>
      <c r="S24" s="169">
        <f t="shared" si="1"/>
        <v>211021470</v>
      </c>
      <c r="T24" s="116">
        <f t="shared" si="2"/>
        <v>211021470</v>
      </c>
      <c r="U24" s="317"/>
    </row>
    <row r="25" spans="1:21" s="17" customFormat="1" ht="68" customHeight="1">
      <c r="A25" s="16"/>
      <c r="B25" s="46">
        <v>9</v>
      </c>
      <c r="C25" s="55"/>
      <c r="D25" s="47" t="s">
        <v>69</v>
      </c>
      <c r="E25" s="48"/>
      <c r="F25" s="48"/>
      <c r="G25" s="49"/>
      <c r="H25" s="50"/>
      <c r="I25" s="54"/>
      <c r="J25" s="49" t="s">
        <v>58</v>
      </c>
      <c r="K25" s="49"/>
      <c r="L25" s="49"/>
      <c r="M25" s="54"/>
      <c r="N25" s="54"/>
      <c r="O25" s="51"/>
      <c r="P25" s="56">
        <v>917</v>
      </c>
      <c r="Q25" s="52">
        <v>14005000</v>
      </c>
      <c r="R25" s="53">
        <f t="shared" si="0"/>
        <v>1400500</v>
      </c>
      <c r="S25" s="169">
        <f t="shared" si="1"/>
        <v>15405500</v>
      </c>
      <c r="T25" s="116">
        <f t="shared" si="2"/>
        <v>15405500</v>
      </c>
      <c r="U25" s="318"/>
    </row>
    <row r="26" spans="1:21" s="17" customFormat="1" ht="68" customHeight="1">
      <c r="A26" s="16"/>
      <c r="B26" s="46">
        <v>10</v>
      </c>
      <c r="C26" s="144" t="s">
        <v>64</v>
      </c>
      <c r="D26" s="145" t="s">
        <v>60</v>
      </c>
      <c r="E26" s="146" t="s">
        <v>80</v>
      </c>
      <c r="F26" s="146" t="s">
        <v>346</v>
      </c>
      <c r="G26" s="147" t="s">
        <v>356</v>
      </c>
      <c r="H26" s="148">
        <v>46206</v>
      </c>
      <c r="I26" s="198" t="s">
        <v>347</v>
      </c>
      <c r="J26" s="147" t="s">
        <v>68</v>
      </c>
      <c r="K26" s="147"/>
      <c r="L26" s="147"/>
      <c r="M26" s="198"/>
      <c r="N26" s="198"/>
      <c r="O26" s="149"/>
      <c r="P26" s="150"/>
      <c r="Q26" s="151">
        <v>30140000</v>
      </c>
      <c r="R26" s="152">
        <f t="shared" si="0"/>
        <v>3014000</v>
      </c>
      <c r="S26" s="153">
        <f t="shared" si="1"/>
        <v>33154000</v>
      </c>
      <c r="T26" s="154">
        <f t="shared" si="2"/>
        <v>33154000</v>
      </c>
      <c r="U26" s="131">
        <f>T26</f>
        <v>33154000</v>
      </c>
    </row>
    <row r="27" spans="1:21" s="17" customFormat="1" ht="68" customHeight="1">
      <c r="A27" s="16"/>
      <c r="B27" s="46">
        <v>11</v>
      </c>
      <c r="C27" s="201" t="s">
        <v>50</v>
      </c>
      <c r="D27" s="202" t="s">
        <v>646</v>
      </c>
      <c r="E27" s="203" t="s">
        <v>49</v>
      </c>
      <c r="F27" s="204" t="s">
        <v>649</v>
      </c>
      <c r="G27" s="205" t="s">
        <v>650</v>
      </c>
      <c r="H27" s="206">
        <v>46209</v>
      </c>
      <c r="I27" s="207" t="s">
        <v>651</v>
      </c>
      <c r="J27" s="205" t="s">
        <v>58</v>
      </c>
      <c r="K27" s="205"/>
      <c r="L27" s="205"/>
      <c r="M27" s="207"/>
      <c r="N27" s="207"/>
      <c r="O27" s="208"/>
      <c r="P27" s="209"/>
      <c r="Q27" s="210">
        <v>12292665.449999999</v>
      </c>
      <c r="R27" s="211">
        <f t="shared" si="0"/>
        <v>1229266.5449999999</v>
      </c>
      <c r="S27" s="212">
        <f t="shared" si="1"/>
        <v>13521931.994999999</v>
      </c>
      <c r="T27" s="213">
        <f t="shared" si="2"/>
        <v>13521931.994999999</v>
      </c>
      <c r="U27" s="316">
        <f>T27+T28+T29</f>
        <v>20408897.596999999</v>
      </c>
    </row>
    <row r="28" spans="1:21" s="17" customFormat="1" ht="68" customHeight="1">
      <c r="A28" s="16"/>
      <c r="B28" s="46">
        <v>12</v>
      </c>
      <c r="C28" s="55"/>
      <c r="D28" s="47" t="s">
        <v>647</v>
      </c>
      <c r="E28" s="48"/>
      <c r="F28" s="48"/>
      <c r="G28" s="49"/>
      <c r="H28" s="50"/>
      <c r="I28" s="54"/>
      <c r="J28" s="49"/>
      <c r="K28" s="49" t="s">
        <v>62</v>
      </c>
      <c r="L28" s="49"/>
      <c r="M28" s="54"/>
      <c r="N28" s="54"/>
      <c r="O28" s="51"/>
      <c r="P28" s="56"/>
      <c r="Q28" s="52">
        <v>4655059.6399999997</v>
      </c>
      <c r="R28" s="53">
        <f t="shared" si="0"/>
        <v>465505.96399999998</v>
      </c>
      <c r="S28" s="169">
        <f t="shared" si="1"/>
        <v>5120565.6039999994</v>
      </c>
      <c r="T28" s="116">
        <f t="shared" si="2"/>
        <v>5120565.6039999994</v>
      </c>
      <c r="U28" s="317"/>
    </row>
    <row r="29" spans="1:21" s="17" customFormat="1" ht="68" customHeight="1">
      <c r="A29" s="16"/>
      <c r="B29" s="46">
        <v>13</v>
      </c>
      <c r="C29" s="55"/>
      <c r="D29" s="47" t="s">
        <v>648</v>
      </c>
      <c r="E29" s="48"/>
      <c r="F29" s="48"/>
      <c r="G29" s="49"/>
      <c r="H29" s="50"/>
      <c r="I29" s="54"/>
      <c r="J29" s="49"/>
      <c r="K29" s="49"/>
      <c r="L29" s="49"/>
      <c r="M29" s="54" t="s">
        <v>58</v>
      </c>
      <c r="N29" s="54"/>
      <c r="O29" s="51"/>
      <c r="P29" s="56"/>
      <c r="Q29" s="52">
        <v>1605818.18</v>
      </c>
      <c r="R29" s="53">
        <f t="shared" si="0"/>
        <v>160581.818</v>
      </c>
      <c r="S29" s="169">
        <f t="shared" si="1"/>
        <v>1766399.9979999999</v>
      </c>
      <c r="T29" s="116">
        <f>SUM(S29:S29)</f>
        <v>1766399.9979999999</v>
      </c>
      <c r="U29" s="318"/>
    </row>
    <row r="30" spans="1:21" s="17" customFormat="1" ht="68" customHeight="1">
      <c r="A30" s="16"/>
      <c r="B30" s="46">
        <v>14</v>
      </c>
      <c r="C30" s="156" t="s">
        <v>64</v>
      </c>
      <c r="D30" s="134" t="s">
        <v>60</v>
      </c>
      <c r="E30" s="135" t="s">
        <v>80</v>
      </c>
      <c r="F30" s="135" t="s">
        <v>818</v>
      </c>
      <c r="G30" s="136" t="s">
        <v>819</v>
      </c>
      <c r="H30" s="137">
        <v>46212</v>
      </c>
      <c r="I30" s="214" t="s">
        <v>820</v>
      </c>
      <c r="J30" s="136" t="s">
        <v>58</v>
      </c>
      <c r="K30" s="136"/>
      <c r="L30" s="136"/>
      <c r="M30" s="214"/>
      <c r="N30" s="214"/>
      <c r="O30" s="138"/>
      <c r="P30" s="139"/>
      <c r="Q30" s="140">
        <v>15070000</v>
      </c>
      <c r="R30" s="141">
        <f t="shared" si="0"/>
        <v>1507000</v>
      </c>
      <c r="S30" s="142">
        <f t="shared" si="1"/>
        <v>16577000</v>
      </c>
      <c r="T30" s="143">
        <f t="shared" si="2"/>
        <v>16577000</v>
      </c>
      <c r="U30" s="316">
        <f>T30+T31+T32</f>
        <v>49997200</v>
      </c>
    </row>
    <row r="31" spans="1:21" s="17" customFormat="1" ht="68" customHeight="1">
      <c r="A31" s="16"/>
      <c r="B31" s="46">
        <v>15</v>
      </c>
      <c r="C31" s="55"/>
      <c r="D31" s="47" t="s">
        <v>821</v>
      </c>
      <c r="E31" s="48"/>
      <c r="F31" s="48"/>
      <c r="G31" s="49"/>
      <c r="H31" s="50"/>
      <c r="I31" s="54"/>
      <c r="J31" s="49" t="s">
        <v>58</v>
      </c>
      <c r="K31" s="49"/>
      <c r="L31" s="49"/>
      <c r="M31" s="54"/>
      <c r="N31" s="54"/>
      <c r="O31" s="51"/>
      <c r="P31" s="56"/>
      <c r="Q31" s="52">
        <v>14630000</v>
      </c>
      <c r="R31" s="53">
        <f t="shared" ref="R31:R37" si="3">Q31*10%</f>
        <v>1463000</v>
      </c>
      <c r="S31" s="169">
        <f t="shared" ref="S31:S37" si="4">SUM(Q31:R31)</f>
        <v>16093000</v>
      </c>
      <c r="T31" s="116">
        <f t="shared" ref="T31:T37" si="5">SUM(S31:S31)</f>
        <v>16093000</v>
      </c>
      <c r="U31" s="317"/>
    </row>
    <row r="32" spans="1:21" s="17" customFormat="1" ht="68" customHeight="1">
      <c r="A32" s="16"/>
      <c r="B32" s="46">
        <v>16</v>
      </c>
      <c r="C32" s="55"/>
      <c r="D32" s="47" t="s">
        <v>822</v>
      </c>
      <c r="E32" s="48"/>
      <c r="F32" s="48"/>
      <c r="G32" s="49"/>
      <c r="H32" s="50"/>
      <c r="I32" s="54"/>
      <c r="J32" s="49" t="s">
        <v>58</v>
      </c>
      <c r="K32" s="49"/>
      <c r="L32" s="49"/>
      <c r="M32" s="54"/>
      <c r="N32" s="54"/>
      <c r="O32" s="51"/>
      <c r="P32" s="56"/>
      <c r="Q32" s="52">
        <v>15752000</v>
      </c>
      <c r="R32" s="53">
        <f t="shared" si="3"/>
        <v>1575200</v>
      </c>
      <c r="S32" s="169">
        <f t="shared" si="4"/>
        <v>17327200</v>
      </c>
      <c r="T32" s="116">
        <f t="shared" si="5"/>
        <v>17327200</v>
      </c>
      <c r="U32" s="318"/>
    </row>
    <row r="33" spans="1:21" s="17" customFormat="1" ht="68" customHeight="1">
      <c r="A33" s="16"/>
      <c r="B33" s="46">
        <v>17</v>
      </c>
      <c r="C33" s="216" t="s">
        <v>1586</v>
      </c>
      <c r="D33" s="216" t="s">
        <v>1587</v>
      </c>
      <c r="E33" s="217"/>
      <c r="F33" s="217" t="s">
        <v>1588</v>
      </c>
      <c r="G33" s="218" t="s">
        <v>1589</v>
      </c>
      <c r="H33" s="219">
        <v>46220</v>
      </c>
      <c r="I33" s="220" t="s">
        <v>1590</v>
      </c>
      <c r="J33" s="218"/>
      <c r="K33" s="218"/>
      <c r="L33" s="218"/>
      <c r="M33" s="220" t="s">
        <v>68</v>
      </c>
      <c r="N33" s="220"/>
      <c r="O33" s="221"/>
      <c r="P33" s="222"/>
      <c r="Q33" s="223">
        <v>3139167.91</v>
      </c>
      <c r="R33" s="224">
        <f t="shared" si="3"/>
        <v>313916.79100000003</v>
      </c>
      <c r="S33" s="225">
        <f t="shared" si="4"/>
        <v>3453084.7010000004</v>
      </c>
      <c r="T33" s="226">
        <f t="shared" si="5"/>
        <v>3453084.7010000004</v>
      </c>
      <c r="U33" s="131">
        <f>T33</f>
        <v>3453084.7010000004</v>
      </c>
    </row>
    <row r="34" spans="1:21" s="17" customFormat="1" ht="68" customHeight="1">
      <c r="A34" s="16"/>
      <c r="B34" s="46">
        <v>18</v>
      </c>
      <c r="C34" s="201" t="s">
        <v>50</v>
      </c>
      <c r="D34" s="202" t="s">
        <v>1878</v>
      </c>
      <c r="E34" s="203" t="s">
        <v>49</v>
      </c>
      <c r="F34" s="204" t="s">
        <v>1881</v>
      </c>
      <c r="G34" s="205" t="s">
        <v>1882</v>
      </c>
      <c r="H34" s="206">
        <v>46225</v>
      </c>
      <c r="I34" s="207" t="s">
        <v>1883</v>
      </c>
      <c r="J34" s="205" t="s">
        <v>58</v>
      </c>
      <c r="K34" s="205"/>
      <c r="L34" s="205"/>
      <c r="M34" s="207"/>
      <c r="N34" s="207"/>
      <c r="O34" s="208"/>
      <c r="P34" s="209"/>
      <c r="Q34" s="210">
        <v>13188050.18</v>
      </c>
      <c r="R34" s="211">
        <f t="shared" si="3"/>
        <v>1318805.0180000002</v>
      </c>
      <c r="S34" s="212">
        <f t="shared" si="4"/>
        <v>14506855.197999999</v>
      </c>
      <c r="T34" s="213">
        <f t="shared" si="5"/>
        <v>14506855.197999999</v>
      </c>
      <c r="U34" s="316">
        <f>T34+T35+T36</f>
        <v>32794055.195</v>
      </c>
    </row>
    <row r="35" spans="1:21" s="17" customFormat="1" ht="68" customHeight="1">
      <c r="A35" s="16"/>
      <c r="B35" s="46">
        <v>19</v>
      </c>
      <c r="C35" s="47"/>
      <c r="D35" s="47" t="s">
        <v>1879</v>
      </c>
      <c r="E35" s="48"/>
      <c r="F35" s="48"/>
      <c r="G35" s="49"/>
      <c r="H35" s="50"/>
      <c r="I35" s="54"/>
      <c r="J35" s="49"/>
      <c r="K35" s="49"/>
      <c r="L35" s="49"/>
      <c r="M35" s="54" t="s">
        <v>1884</v>
      </c>
      <c r="N35" s="54"/>
      <c r="O35" s="51"/>
      <c r="P35" s="56"/>
      <c r="Q35" s="52">
        <v>10440000</v>
      </c>
      <c r="R35" s="53">
        <f t="shared" si="3"/>
        <v>1044000</v>
      </c>
      <c r="S35" s="169">
        <f t="shared" si="4"/>
        <v>11484000</v>
      </c>
      <c r="T35" s="116">
        <f t="shared" si="5"/>
        <v>11484000</v>
      </c>
      <c r="U35" s="317"/>
    </row>
    <row r="36" spans="1:21" s="17" customFormat="1" ht="68" customHeight="1">
      <c r="A36" s="16"/>
      <c r="B36" s="46">
        <v>20</v>
      </c>
      <c r="C36" s="47"/>
      <c r="D36" s="47" t="s">
        <v>1880</v>
      </c>
      <c r="E36" s="48"/>
      <c r="F36" s="48"/>
      <c r="G36" s="49"/>
      <c r="H36" s="50"/>
      <c r="I36" s="54"/>
      <c r="J36" s="49"/>
      <c r="K36" s="49"/>
      <c r="L36" s="49"/>
      <c r="M36" s="54" t="s">
        <v>68</v>
      </c>
      <c r="N36" s="54"/>
      <c r="O36" s="51"/>
      <c r="P36" s="56"/>
      <c r="Q36" s="52">
        <v>6184727.2699999996</v>
      </c>
      <c r="R36" s="53">
        <f t="shared" si="3"/>
        <v>618472.72699999996</v>
      </c>
      <c r="S36" s="169">
        <f t="shared" si="4"/>
        <v>6803199.9969999995</v>
      </c>
      <c r="T36" s="116">
        <f t="shared" si="5"/>
        <v>6803199.9969999995</v>
      </c>
      <c r="U36" s="318"/>
    </row>
    <row r="37" spans="1:21" s="17" customFormat="1" ht="68" customHeight="1">
      <c r="A37" s="16"/>
      <c r="B37" s="46">
        <v>21</v>
      </c>
      <c r="C37" s="241" t="s">
        <v>220</v>
      </c>
      <c r="D37" s="242" t="s">
        <v>822</v>
      </c>
      <c r="E37" s="243" t="s">
        <v>66</v>
      </c>
      <c r="F37" s="243" t="s">
        <v>1933</v>
      </c>
      <c r="G37" s="244" t="s">
        <v>1934</v>
      </c>
      <c r="H37" s="245">
        <v>46225</v>
      </c>
      <c r="I37" s="246" t="s">
        <v>1935</v>
      </c>
      <c r="J37" s="244" t="s">
        <v>1936</v>
      </c>
      <c r="K37" s="244"/>
      <c r="L37" s="244"/>
      <c r="M37" s="246"/>
      <c r="N37" s="246"/>
      <c r="O37" s="247"/>
      <c r="P37" s="248">
        <v>10770</v>
      </c>
      <c r="Q37" s="249">
        <v>245039040</v>
      </c>
      <c r="R37" s="250">
        <f t="shared" si="3"/>
        <v>24503904</v>
      </c>
      <c r="S37" s="251">
        <f t="shared" si="4"/>
        <v>269542944</v>
      </c>
      <c r="T37" s="252">
        <f t="shared" si="5"/>
        <v>269542944</v>
      </c>
      <c r="U37" s="316">
        <f>T37+T38</f>
        <v>316544025.60000002</v>
      </c>
    </row>
    <row r="38" spans="1:21" s="17" customFormat="1" ht="68" customHeight="1">
      <c r="A38" s="16"/>
      <c r="B38" s="46">
        <v>22</v>
      </c>
      <c r="C38" s="240"/>
      <c r="D38" s="47" t="s">
        <v>1932</v>
      </c>
      <c r="E38" s="48"/>
      <c r="F38" s="48"/>
      <c r="G38" s="49"/>
      <c r="H38" s="50"/>
      <c r="I38" s="54"/>
      <c r="J38" s="49" t="s">
        <v>68</v>
      </c>
      <c r="K38" s="49"/>
      <c r="L38" s="49"/>
      <c r="M38" s="54"/>
      <c r="N38" s="54"/>
      <c r="O38" s="51"/>
      <c r="P38" s="56">
        <v>1878</v>
      </c>
      <c r="Q38" s="52">
        <v>42728256</v>
      </c>
      <c r="R38" s="53">
        <f t="shared" ref="R38:R39" si="6">Q38*10%</f>
        <v>4272825.6000000006</v>
      </c>
      <c r="S38" s="169">
        <f t="shared" ref="S38:S39" si="7">SUM(Q38:R38)</f>
        <v>47001081.600000001</v>
      </c>
      <c r="T38" s="116">
        <f t="shared" ref="T38:T39" si="8">SUM(S38:S38)</f>
        <v>47001081.600000001</v>
      </c>
      <c r="U38" s="318"/>
    </row>
    <row r="39" spans="1:21" s="17" customFormat="1" ht="68" customHeight="1">
      <c r="A39" s="16"/>
      <c r="B39" s="46">
        <v>23</v>
      </c>
      <c r="C39" s="181" t="s">
        <v>220</v>
      </c>
      <c r="D39" s="182" t="s">
        <v>822</v>
      </c>
      <c r="E39" s="183" t="s">
        <v>66</v>
      </c>
      <c r="F39" s="183" t="s">
        <v>1937</v>
      </c>
      <c r="G39" s="184" t="s">
        <v>1938</v>
      </c>
      <c r="H39" s="185">
        <v>46225</v>
      </c>
      <c r="I39" s="253" t="s">
        <v>1939</v>
      </c>
      <c r="J39" s="184" t="s">
        <v>1940</v>
      </c>
      <c r="K39" s="184"/>
      <c r="L39" s="184"/>
      <c r="M39" s="253"/>
      <c r="N39" s="253"/>
      <c r="O39" s="186"/>
      <c r="P39" s="187">
        <v>18165.400000000001</v>
      </c>
      <c r="Q39" s="188">
        <v>375726528</v>
      </c>
      <c r="R39" s="189">
        <f t="shared" si="6"/>
        <v>37572652.800000004</v>
      </c>
      <c r="S39" s="190">
        <f t="shared" si="7"/>
        <v>413299180.80000001</v>
      </c>
      <c r="T39" s="191">
        <f t="shared" si="8"/>
        <v>413299180.80000001</v>
      </c>
      <c r="U39" s="227">
        <f>T39</f>
        <v>413299180.80000001</v>
      </c>
    </row>
    <row r="40" spans="1:21" s="17" customFormat="1" ht="68" customHeight="1">
      <c r="A40" s="16"/>
      <c r="B40" s="46">
        <v>24</v>
      </c>
      <c r="C40" s="228" t="s">
        <v>64</v>
      </c>
      <c r="D40" s="229" t="s">
        <v>1927</v>
      </c>
      <c r="E40" s="230" t="s">
        <v>80</v>
      </c>
      <c r="F40" s="230" t="s">
        <v>1929</v>
      </c>
      <c r="G40" s="231" t="s">
        <v>1931</v>
      </c>
      <c r="H40" s="232">
        <v>46225</v>
      </c>
      <c r="I40" s="233" t="s">
        <v>1930</v>
      </c>
      <c r="J40" s="231" t="s">
        <v>58</v>
      </c>
      <c r="K40" s="231"/>
      <c r="L40" s="231"/>
      <c r="M40" s="233"/>
      <c r="N40" s="233"/>
      <c r="O40" s="234"/>
      <c r="P40" s="235"/>
      <c r="Q40" s="236">
        <v>20086000</v>
      </c>
      <c r="R40" s="237">
        <f>Q40*10%</f>
        <v>2008600</v>
      </c>
      <c r="S40" s="238">
        <f>SUM(Q40:R40)</f>
        <v>22094600</v>
      </c>
      <c r="T40" s="239">
        <f>SUM(S40:S40)</f>
        <v>22094600</v>
      </c>
      <c r="U40" s="316">
        <f>T40+T41+T42</f>
        <v>42446800</v>
      </c>
    </row>
    <row r="41" spans="1:21" s="17" customFormat="1" ht="68" customHeight="1">
      <c r="A41" s="16"/>
      <c r="B41" s="46">
        <v>25</v>
      </c>
      <c r="C41" s="55"/>
      <c r="D41" s="47" t="s">
        <v>74</v>
      </c>
      <c r="E41" s="48"/>
      <c r="F41" s="48"/>
      <c r="G41" s="49"/>
      <c r="H41" s="50"/>
      <c r="I41" s="54"/>
      <c r="J41" s="49" t="s">
        <v>58</v>
      </c>
      <c r="K41" s="49"/>
      <c r="L41" s="49"/>
      <c r="M41" s="54"/>
      <c r="N41" s="54"/>
      <c r="O41" s="51"/>
      <c r="P41" s="56"/>
      <c r="Q41" s="52">
        <v>15752000</v>
      </c>
      <c r="R41" s="53">
        <f t="shared" ref="R41:R53" si="9">Q41*10%</f>
        <v>1575200</v>
      </c>
      <c r="S41" s="169">
        <f t="shared" ref="S41:S53" si="10">SUM(Q41:R41)</f>
        <v>17327200</v>
      </c>
      <c r="T41" s="116">
        <f t="shared" ref="T41:T53" si="11">SUM(S41:S41)</f>
        <v>17327200</v>
      </c>
      <c r="U41" s="317"/>
    </row>
    <row r="42" spans="1:21" s="17" customFormat="1" ht="68" customHeight="1">
      <c r="A42" s="16"/>
      <c r="B42" s="46">
        <v>26</v>
      </c>
      <c r="C42" s="55"/>
      <c r="D42" s="47" t="s">
        <v>1928</v>
      </c>
      <c r="E42" s="48"/>
      <c r="F42" s="48"/>
      <c r="G42" s="49"/>
      <c r="H42" s="50"/>
      <c r="I42" s="54"/>
      <c r="J42" s="49"/>
      <c r="K42" s="49" t="s">
        <v>58</v>
      </c>
      <c r="L42" s="49"/>
      <c r="M42" s="54"/>
      <c r="N42" s="54"/>
      <c r="O42" s="51"/>
      <c r="P42" s="56"/>
      <c r="Q42" s="52">
        <v>2750000</v>
      </c>
      <c r="R42" s="53">
        <f t="shared" si="9"/>
        <v>275000</v>
      </c>
      <c r="S42" s="169">
        <f t="shared" si="10"/>
        <v>3025000</v>
      </c>
      <c r="T42" s="116">
        <f t="shared" si="11"/>
        <v>3025000</v>
      </c>
      <c r="U42" s="318"/>
    </row>
    <row r="43" spans="1:21" s="17" customFormat="1" ht="68" customHeight="1">
      <c r="A43" s="16"/>
      <c r="B43" s="46">
        <v>27</v>
      </c>
      <c r="C43" s="157" t="s">
        <v>237</v>
      </c>
      <c r="D43" s="157" t="s">
        <v>821</v>
      </c>
      <c r="E43" s="158" t="s">
        <v>67</v>
      </c>
      <c r="F43" s="158" t="s">
        <v>1945</v>
      </c>
      <c r="G43" s="159" t="s">
        <v>1946</v>
      </c>
      <c r="H43" s="160">
        <v>46225</v>
      </c>
      <c r="I43" s="161" t="s">
        <v>1947</v>
      </c>
      <c r="J43" s="159" t="s">
        <v>1940</v>
      </c>
      <c r="K43" s="159"/>
      <c r="L43" s="159"/>
      <c r="M43" s="161"/>
      <c r="N43" s="161"/>
      <c r="O43" s="254"/>
      <c r="P43" s="162">
        <v>15272</v>
      </c>
      <c r="Q43" s="163">
        <v>347468544</v>
      </c>
      <c r="R43" s="164">
        <f t="shared" si="9"/>
        <v>34746854.399999999</v>
      </c>
      <c r="S43" s="165">
        <f t="shared" si="10"/>
        <v>382215398.39999998</v>
      </c>
      <c r="T43" s="166">
        <f t="shared" si="11"/>
        <v>382215398.39999998</v>
      </c>
      <c r="U43" s="316">
        <f>T43+T44+T45+T46+T47+T48+T49+T50</f>
        <v>2365470835.1999998</v>
      </c>
    </row>
    <row r="44" spans="1:21" s="17" customFormat="1" ht="68" customHeight="1">
      <c r="A44" s="16"/>
      <c r="B44" s="46">
        <v>28</v>
      </c>
      <c r="C44" s="55"/>
      <c r="D44" s="47" t="s">
        <v>1941</v>
      </c>
      <c r="E44" s="48"/>
      <c r="F44" s="48"/>
      <c r="G44" s="49"/>
      <c r="H44" s="50"/>
      <c r="I44" s="54"/>
      <c r="J44" s="49" t="s">
        <v>68</v>
      </c>
      <c r="K44" s="49"/>
      <c r="L44" s="49"/>
      <c r="M44" s="54"/>
      <c r="N44" s="54"/>
      <c r="O44" s="51"/>
      <c r="P44" s="56">
        <v>1234</v>
      </c>
      <c r="Q44" s="52">
        <v>28075968</v>
      </c>
      <c r="R44" s="53">
        <f t="shared" si="9"/>
        <v>2807596.8000000003</v>
      </c>
      <c r="S44" s="169">
        <f t="shared" si="10"/>
        <v>30883564.800000001</v>
      </c>
      <c r="T44" s="116">
        <f t="shared" si="11"/>
        <v>30883564.800000001</v>
      </c>
      <c r="U44" s="317"/>
    </row>
    <row r="45" spans="1:21" s="17" customFormat="1" ht="68" customHeight="1">
      <c r="A45" s="16"/>
      <c r="B45" s="46">
        <v>29</v>
      </c>
      <c r="C45" s="55"/>
      <c r="D45" s="47" t="s">
        <v>1942</v>
      </c>
      <c r="E45" s="48"/>
      <c r="F45" s="48"/>
      <c r="G45" s="49"/>
      <c r="H45" s="50"/>
      <c r="I45" s="54"/>
      <c r="J45" s="49" t="s">
        <v>1948</v>
      </c>
      <c r="K45" s="49"/>
      <c r="L45" s="49"/>
      <c r="M45" s="54"/>
      <c r="N45" s="54"/>
      <c r="O45" s="51"/>
      <c r="P45" s="56">
        <v>23634</v>
      </c>
      <c r="Q45" s="52">
        <v>537720768</v>
      </c>
      <c r="R45" s="53">
        <f t="shared" si="9"/>
        <v>53772076.800000004</v>
      </c>
      <c r="S45" s="169">
        <f t="shared" si="10"/>
        <v>591492844.79999995</v>
      </c>
      <c r="T45" s="116">
        <f t="shared" si="11"/>
        <v>591492844.79999995</v>
      </c>
      <c r="U45" s="317"/>
    </row>
    <row r="46" spans="1:21" s="17" customFormat="1" ht="68" customHeight="1">
      <c r="A46" s="16"/>
      <c r="B46" s="46">
        <v>30</v>
      </c>
      <c r="C46" s="55"/>
      <c r="D46" s="47" t="s">
        <v>1943</v>
      </c>
      <c r="E46" s="48"/>
      <c r="F46" s="48"/>
      <c r="G46" s="49"/>
      <c r="H46" s="50"/>
      <c r="I46" s="54"/>
      <c r="J46" s="49" t="s">
        <v>1949</v>
      </c>
      <c r="K46" s="49"/>
      <c r="L46" s="49"/>
      <c r="M46" s="54"/>
      <c r="N46" s="54"/>
      <c r="O46" s="51"/>
      <c r="P46" s="56">
        <v>11488</v>
      </c>
      <c r="Q46" s="52">
        <v>261374976</v>
      </c>
      <c r="R46" s="53">
        <f t="shared" si="9"/>
        <v>26137497.600000001</v>
      </c>
      <c r="S46" s="169">
        <f t="shared" si="10"/>
        <v>287512473.60000002</v>
      </c>
      <c r="T46" s="116">
        <f t="shared" si="11"/>
        <v>287512473.60000002</v>
      </c>
      <c r="U46" s="317"/>
    </row>
    <row r="47" spans="1:21" s="17" customFormat="1" ht="68" customHeight="1">
      <c r="A47" s="16"/>
      <c r="B47" s="46">
        <v>31</v>
      </c>
      <c r="C47" s="55"/>
      <c r="D47" s="47" t="s">
        <v>822</v>
      </c>
      <c r="E47" s="48"/>
      <c r="F47" s="48"/>
      <c r="G47" s="49"/>
      <c r="H47" s="50"/>
      <c r="I47" s="54"/>
      <c r="J47" s="49" t="s">
        <v>1950</v>
      </c>
      <c r="K47" s="49"/>
      <c r="L47" s="49"/>
      <c r="M47" s="54"/>
      <c r="N47" s="54"/>
      <c r="O47" s="51"/>
      <c r="P47" s="56">
        <v>21540</v>
      </c>
      <c r="Q47" s="52">
        <v>490078080</v>
      </c>
      <c r="R47" s="53">
        <f t="shared" si="9"/>
        <v>49007808</v>
      </c>
      <c r="S47" s="169">
        <f t="shared" si="10"/>
        <v>539085888</v>
      </c>
      <c r="T47" s="116">
        <f t="shared" si="11"/>
        <v>539085888</v>
      </c>
      <c r="U47" s="317"/>
    </row>
    <row r="48" spans="1:21" s="17" customFormat="1" ht="68" customHeight="1">
      <c r="A48" s="16"/>
      <c r="B48" s="46">
        <v>32</v>
      </c>
      <c r="C48" s="55"/>
      <c r="D48" s="47" t="s">
        <v>1932</v>
      </c>
      <c r="E48" s="48"/>
      <c r="F48" s="48"/>
      <c r="G48" s="49"/>
      <c r="H48" s="50"/>
      <c r="I48" s="54"/>
      <c r="J48" s="49" t="s">
        <v>1951</v>
      </c>
      <c r="K48" s="49"/>
      <c r="L48" s="49"/>
      <c r="M48" s="54"/>
      <c r="N48" s="54"/>
      <c r="O48" s="51"/>
      <c r="P48" s="56">
        <v>9390</v>
      </c>
      <c r="Q48" s="52">
        <v>213641280</v>
      </c>
      <c r="R48" s="53">
        <f t="shared" si="9"/>
        <v>21364128</v>
      </c>
      <c r="S48" s="169">
        <f t="shared" si="10"/>
        <v>235005408</v>
      </c>
      <c r="T48" s="116">
        <f t="shared" si="11"/>
        <v>235005408</v>
      </c>
      <c r="U48" s="317"/>
    </row>
    <row r="49" spans="1:21" s="17" customFormat="1" ht="68" customHeight="1">
      <c r="A49" s="16"/>
      <c r="B49" s="46">
        <v>33</v>
      </c>
      <c r="C49" s="55"/>
      <c r="D49" s="47" t="s">
        <v>1944</v>
      </c>
      <c r="E49" s="48"/>
      <c r="F49" s="48"/>
      <c r="G49" s="49"/>
      <c r="H49" s="50"/>
      <c r="I49" s="54"/>
      <c r="J49" s="49" t="s">
        <v>1884</v>
      </c>
      <c r="K49" s="49"/>
      <c r="L49" s="49"/>
      <c r="M49" s="54"/>
      <c r="N49" s="54"/>
      <c r="O49" s="51"/>
      <c r="P49" s="56">
        <v>6590</v>
      </c>
      <c r="Q49" s="52">
        <v>149935680</v>
      </c>
      <c r="R49" s="53">
        <f t="shared" si="9"/>
        <v>14993568</v>
      </c>
      <c r="S49" s="169">
        <f t="shared" si="10"/>
        <v>164929248</v>
      </c>
      <c r="T49" s="116">
        <f t="shared" si="11"/>
        <v>164929248</v>
      </c>
      <c r="U49" s="317"/>
    </row>
    <row r="50" spans="1:21" s="17" customFormat="1" ht="68" customHeight="1">
      <c r="A50" s="16"/>
      <c r="B50" s="46">
        <v>34</v>
      </c>
      <c r="C50" s="125"/>
      <c r="D50" s="47" t="s">
        <v>646</v>
      </c>
      <c r="E50" s="48"/>
      <c r="F50" s="48"/>
      <c r="G50" s="49"/>
      <c r="H50" s="50"/>
      <c r="I50" s="54"/>
      <c r="J50" s="49" t="s">
        <v>1952</v>
      </c>
      <c r="K50" s="49"/>
      <c r="L50" s="49"/>
      <c r="M50" s="54"/>
      <c r="N50" s="54"/>
      <c r="O50" s="51"/>
      <c r="P50" s="56">
        <v>5368</v>
      </c>
      <c r="Q50" s="52">
        <v>122132736</v>
      </c>
      <c r="R50" s="53">
        <f t="shared" si="9"/>
        <v>12213273.600000001</v>
      </c>
      <c r="S50" s="169">
        <f t="shared" si="10"/>
        <v>134346009.59999999</v>
      </c>
      <c r="T50" s="116">
        <f t="shared" si="11"/>
        <v>134346009.59999999</v>
      </c>
      <c r="U50" s="318"/>
    </row>
    <row r="51" spans="1:21" s="17" customFormat="1" ht="68" customHeight="1">
      <c r="A51" s="16"/>
      <c r="B51" s="46">
        <v>35</v>
      </c>
      <c r="C51" s="228" t="s">
        <v>220</v>
      </c>
      <c r="D51" s="229" t="s">
        <v>821</v>
      </c>
      <c r="E51" s="230" t="s">
        <v>66</v>
      </c>
      <c r="F51" s="230" t="s">
        <v>1976</v>
      </c>
      <c r="G51" s="231" t="s">
        <v>1977</v>
      </c>
      <c r="H51" s="232">
        <v>46226</v>
      </c>
      <c r="I51" s="233" t="s">
        <v>1978</v>
      </c>
      <c r="J51" s="231" t="s">
        <v>1949</v>
      </c>
      <c r="K51" s="231"/>
      <c r="L51" s="231"/>
      <c r="M51" s="233"/>
      <c r="N51" s="233"/>
      <c r="O51" s="234"/>
      <c r="P51" s="235">
        <v>10624</v>
      </c>
      <c r="Q51" s="236">
        <v>241717248</v>
      </c>
      <c r="R51" s="237">
        <f t="shared" si="9"/>
        <v>24171724.800000001</v>
      </c>
      <c r="S51" s="238">
        <f t="shared" si="10"/>
        <v>265888972.80000001</v>
      </c>
      <c r="T51" s="239">
        <f t="shared" si="11"/>
        <v>265888972.80000001</v>
      </c>
      <c r="U51" s="316">
        <f>T51+T52+T53+T54+T55+T56+T57</f>
        <v>973858406.39999998</v>
      </c>
    </row>
    <row r="52" spans="1:21" s="17" customFormat="1" ht="68" customHeight="1">
      <c r="A52" s="16"/>
      <c r="B52" s="46">
        <v>36</v>
      </c>
      <c r="C52" s="55"/>
      <c r="D52" s="47" t="s">
        <v>1942</v>
      </c>
      <c r="E52" s="48"/>
      <c r="F52" s="48"/>
      <c r="G52" s="49"/>
      <c r="H52" s="50"/>
      <c r="I52" s="54"/>
      <c r="J52" s="49" t="s">
        <v>1979</v>
      </c>
      <c r="K52" s="49"/>
      <c r="L52" s="49"/>
      <c r="M52" s="54"/>
      <c r="N52" s="54"/>
      <c r="O52" s="51"/>
      <c r="P52" s="56">
        <v>7878</v>
      </c>
      <c r="Q52" s="52">
        <v>179240256</v>
      </c>
      <c r="R52" s="53">
        <f t="shared" si="9"/>
        <v>17924025.600000001</v>
      </c>
      <c r="S52" s="169">
        <f t="shared" si="10"/>
        <v>197164281.59999999</v>
      </c>
      <c r="T52" s="116">
        <f t="shared" si="11"/>
        <v>197164281.59999999</v>
      </c>
      <c r="U52" s="317"/>
    </row>
    <row r="53" spans="1:21" s="17" customFormat="1" ht="68" customHeight="1">
      <c r="A53" s="16"/>
      <c r="B53" s="46">
        <v>37</v>
      </c>
      <c r="C53" s="55"/>
      <c r="D53" s="47" t="s">
        <v>1932</v>
      </c>
      <c r="E53" s="48"/>
      <c r="F53" s="48"/>
      <c r="G53" s="49"/>
      <c r="H53" s="50"/>
      <c r="I53" s="54"/>
      <c r="J53" s="49" t="s">
        <v>1951</v>
      </c>
      <c r="K53" s="49"/>
      <c r="L53" s="49"/>
      <c r="M53" s="54"/>
      <c r="N53" s="54"/>
      <c r="O53" s="51"/>
      <c r="P53" s="56">
        <v>9390</v>
      </c>
      <c r="Q53" s="52">
        <v>213641280</v>
      </c>
      <c r="R53" s="53">
        <f t="shared" si="9"/>
        <v>21364128</v>
      </c>
      <c r="S53" s="169">
        <f t="shared" si="10"/>
        <v>235005408</v>
      </c>
      <c r="T53" s="116">
        <f t="shared" si="11"/>
        <v>235005408</v>
      </c>
      <c r="U53" s="317"/>
    </row>
    <row r="54" spans="1:21" s="17" customFormat="1" ht="68" customHeight="1">
      <c r="A54" s="16"/>
      <c r="B54" s="46">
        <v>38</v>
      </c>
      <c r="C54" s="55"/>
      <c r="D54" s="47" t="s">
        <v>1974</v>
      </c>
      <c r="E54" s="48"/>
      <c r="F54" s="48"/>
      <c r="G54" s="49"/>
      <c r="H54" s="50"/>
      <c r="I54" s="54"/>
      <c r="J54" s="49" t="s">
        <v>76</v>
      </c>
      <c r="K54" s="49"/>
      <c r="L54" s="49"/>
      <c r="M54" s="54"/>
      <c r="N54" s="54"/>
      <c r="O54" s="51"/>
      <c r="P54" s="56">
        <v>344</v>
      </c>
      <c r="Q54" s="52">
        <v>7826688</v>
      </c>
      <c r="R54" s="53">
        <f>Q54*10%</f>
        <v>782668.80000000005</v>
      </c>
      <c r="S54" s="169">
        <f>SUM(Q54:R54)</f>
        <v>8609356.8000000007</v>
      </c>
      <c r="T54" s="116">
        <f>SUM(S54:S54)</f>
        <v>8609356.8000000007</v>
      </c>
      <c r="U54" s="317"/>
    </row>
    <row r="55" spans="1:21" s="17" customFormat="1" ht="68" customHeight="1">
      <c r="A55" s="16"/>
      <c r="B55" s="46">
        <v>39</v>
      </c>
      <c r="C55" s="55"/>
      <c r="D55" s="47" t="s">
        <v>1975</v>
      </c>
      <c r="E55" s="48"/>
      <c r="F55" s="48"/>
      <c r="G55" s="49"/>
      <c r="H55" s="50"/>
      <c r="I55" s="193"/>
      <c r="J55" s="49" t="s">
        <v>68</v>
      </c>
      <c r="K55" s="49"/>
      <c r="L55" s="49"/>
      <c r="M55" s="193"/>
      <c r="N55" s="193"/>
      <c r="O55" s="51"/>
      <c r="P55" s="56">
        <v>1342</v>
      </c>
      <c r="Q55" s="52">
        <v>30533184</v>
      </c>
      <c r="R55" s="53">
        <f>Q55*10%</f>
        <v>3053318.4000000004</v>
      </c>
      <c r="S55" s="169">
        <f>SUM(Q55:R55)</f>
        <v>33586502.399999999</v>
      </c>
      <c r="T55" s="116">
        <f>SUM(S55:S55)</f>
        <v>33586502.399999999</v>
      </c>
      <c r="U55" s="317"/>
    </row>
    <row r="56" spans="1:21" s="17" customFormat="1" ht="68" customHeight="1">
      <c r="A56" s="16"/>
      <c r="B56" s="46">
        <v>40</v>
      </c>
      <c r="C56" s="47"/>
      <c r="D56" s="47" t="s">
        <v>822</v>
      </c>
      <c r="E56" s="48"/>
      <c r="F56" s="48"/>
      <c r="G56" s="49"/>
      <c r="H56" s="50"/>
      <c r="I56" s="54"/>
      <c r="J56" s="49" t="s">
        <v>1980</v>
      </c>
      <c r="K56" s="49"/>
      <c r="L56" s="49"/>
      <c r="M56" s="54"/>
      <c r="N56" s="54"/>
      <c r="O56" s="51"/>
      <c r="P56" s="56">
        <v>4308</v>
      </c>
      <c r="Q56" s="52">
        <v>98015616</v>
      </c>
      <c r="R56" s="53">
        <f>Q56*10%</f>
        <v>9801561.5999999996</v>
      </c>
      <c r="S56" s="169">
        <f>SUM(Q56:R56)</f>
        <v>107817177.59999999</v>
      </c>
      <c r="T56" s="116">
        <f>SUM(S56:S56)</f>
        <v>107817177.59999999</v>
      </c>
      <c r="U56" s="317"/>
    </row>
    <row r="57" spans="1:21" s="17" customFormat="1" ht="68" customHeight="1">
      <c r="A57" s="16"/>
      <c r="B57" s="46">
        <v>41</v>
      </c>
      <c r="C57" s="55"/>
      <c r="D57" s="47" t="s">
        <v>822</v>
      </c>
      <c r="E57" s="48"/>
      <c r="F57" s="48"/>
      <c r="G57" s="49"/>
      <c r="H57" s="50"/>
      <c r="I57" s="54"/>
      <c r="J57" s="49" t="s">
        <v>1981</v>
      </c>
      <c r="K57" s="49"/>
      <c r="L57" s="49"/>
      <c r="M57" s="54"/>
      <c r="N57" s="54"/>
      <c r="O57" s="51"/>
      <c r="P57" s="56">
        <v>5026</v>
      </c>
      <c r="Q57" s="52">
        <v>114351552</v>
      </c>
      <c r="R57" s="53">
        <f>Q57*10%</f>
        <v>11435155.200000001</v>
      </c>
      <c r="S57" s="169">
        <f>SUM(Q57:R57)</f>
        <v>125786707.2</v>
      </c>
      <c r="T57" s="116">
        <f>SUM(S57:S57)</f>
        <v>125786707.2</v>
      </c>
      <c r="U57" s="318"/>
    </row>
    <row r="58" spans="1:21" s="17" customFormat="1" ht="68" customHeight="1">
      <c r="A58" s="16"/>
      <c r="B58" s="46">
        <v>42</v>
      </c>
      <c r="C58" s="255" t="s">
        <v>536</v>
      </c>
      <c r="D58" s="157" t="s">
        <v>821</v>
      </c>
      <c r="E58" s="158" t="s">
        <v>537</v>
      </c>
      <c r="F58" s="158" t="s">
        <v>1994</v>
      </c>
      <c r="G58" s="159" t="s">
        <v>1995</v>
      </c>
      <c r="H58" s="160">
        <v>46226</v>
      </c>
      <c r="I58" s="161"/>
      <c r="J58" s="159" t="s">
        <v>1952</v>
      </c>
      <c r="K58" s="159"/>
      <c r="L58" s="159"/>
      <c r="M58" s="161"/>
      <c r="N58" s="161"/>
      <c r="O58" s="254">
        <v>175296</v>
      </c>
      <c r="P58" s="162"/>
      <c r="Q58" s="163">
        <v>120282856.31999999</v>
      </c>
      <c r="R58" s="164">
        <f t="shared" ref="R58:R68" si="12">Q58*10%</f>
        <v>12028285.631999999</v>
      </c>
      <c r="S58" s="165">
        <f t="shared" ref="S58:S68" si="13">SUM(Q58:R58)</f>
        <v>132311141.95199999</v>
      </c>
      <c r="T58" s="166">
        <f t="shared" ref="T58:T68" si="14">SUM(S58:S58)</f>
        <v>132311141.95199999</v>
      </c>
      <c r="U58" s="316">
        <f>T58+T59+T60+T61</f>
        <v>460190614.75199997</v>
      </c>
    </row>
    <row r="59" spans="1:21" s="17" customFormat="1" ht="68" customHeight="1">
      <c r="A59" s="16"/>
      <c r="B59" s="46">
        <v>43</v>
      </c>
      <c r="C59" s="55"/>
      <c r="D59" s="47" t="s">
        <v>1943</v>
      </c>
      <c r="E59" s="48"/>
      <c r="F59" s="48"/>
      <c r="G59" s="49"/>
      <c r="H59" s="50"/>
      <c r="I59" s="54"/>
      <c r="J59" s="49" t="s">
        <v>1884</v>
      </c>
      <c r="K59" s="49"/>
      <c r="L59" s="49"/>
      <c r="M59" s="54"/>
      <c r="N59" s="54"/>
      <c r="O59" s="51">
        <v>113480</v>
      </c>
      <c r="P59" s="56"/>
      <c r="Q59" s="52">
        <v>77866571.599999994</v>
      </c>
      <c r="R59" s="53">
        <f t="shared" si="12"/>
        <v>7786657.1600000001</v>
      </c>
      <c r="S59" s="169">
        <f t="shared" si="13"/>
        <v>85653228.75999999</v>
      </c>
      <c r="T59" s="116">
        <f t="shared" si="14"/>
        <v>85653228.75999999</v>
      </c>
      <c r="U59" s="317"/>
    </row>
    <row r="60" spans="1:21" s="17" customFormat="1" ht="68" customHeight="1">
      <c r="A60" s="16"/>
      <c r="B60" s="46">
        <v>44</v>
      </c>
      <c r="C60" s="55"/>
      <c r="D60" s="47" t="s">
        <v>1942</v>
      </c>
      <c r="E60" s="48"/>
      <c r="F60" s="48"/>
      <c r="G60" s="49"/>
      <c r="H60" s="50"/>
      <c r="I60" s="54"/>
      <c r="J60" s="49" t="s">
        <v>1996</v>
      </c>
      <c r="K60" s="49"/>
      <c r="L60" s="49"/>
      <c r="M60" s="54"/>
      <c r="N60" s="54"/>
      <c r="O60" s="51">
        <v>230136</v>
      </c>
      <c r="P60" s="56"/>
      <c r="Q60" s="52">
        <v>157912419.12</v>
      </c>
      <c r="R60" s="53">
        <f t="shared" si="12"/>
        <v>15791241.912</v>
      </c>
      <c r="S60" s="169">
        <f t="shared" si="13"/>
        <v>173703661.03200001</v>
      </c>
      <c r="T60" s="116">
        <f t="shared" si="14"/>
        <v>173703661.03200001</v>
      </c>
      <c r="U60" s="317"/>
    </row>
    <row r="61" spans="1:21" s="17" customFormat="1" ht="68" customHeight="1">
      <c r="A61" s="16"/>
      <c r="B61" s="46">
        <v>45</v>
      </c>
      <c r="C61" s="55"/>
      <c r="D61" s="47" t="s">
        <v>822</v>
      </c>
      <c r="E61" s="48"/>
      <c r="F61" s="48"/>
      <c r="G61" s="49"/>
      <c r="H61" s="50"/>
      <c r="I61" s="54"/>
      <c r="J61" s="49" t="s">
        <v>76</v>
      </c>
      <c r="K61" s="49"/>
      <c r="L61" s="49"/>
      <c r="M61" s="54"/>
      <c r="N61" s="54"/>
      <c r="O61" s="51">
        <v>90784</v>
      </c>
      <c r="P61" s="56"/>
      <c r="Q61" s="52">
        <v>62293257.280000001</v>
      </c>
      <c r="R61" s="53">
        <f t="shared" si="12"/>
        <v>6229325.7280000001</v>
      </c>
      <c r="S61" s="169">
        <f t="shared" si="13"/>
        <v>68522583.008000001</v>
      </c>
      <c r="T61" s="116">
        <f t="shared" si="14"/>
        <v>68522583.008000001</v>
      </c>
      <c r="U61" s="317"/>
    </row>
    <row r="62" spans="1:21" s="17" customFormat="1" ht="68" customHeight="1">
      <c r="A62" s="16"/>
      <c r="B62" s="46">
        <v>46</v>
      </c>
      <c r="C62" s="170" t="s">
        <v>237</v>
      </c>
      <c r="D62" s="170" t="s">
        <v>2035</v>
      </c>
      <c r="E62" s="171" t="s">
        <v>67</v>
      </c>
      <c r="F62" s="171" t="s">
        <v>2036</v>
      </c>
      <c r="G62" s="172" t="s">
        <v>2037</v>
      </c>
      <c r="H62" s="173">
        <v>46226</v>
      </c>
      <c r="I62" s="174" t="s">
        <v>2038</v>
      </c>
      <c r="J62" s="172"/>
      <c r="K62" s="172"/>
      <c r="L62" s="172"/>
      <c r="M62" s="174" t="s">
        <v>76</v>
      </c>
      <c r="N62" s="174"/>
      <c r="O62" s="175"/>
      <c r="P62" s="176">
        <v>284.99</v>
      </c>
      <c r="Q62" s="177">
        <v>5894588.1600000001</v>
      </c>
      <c r="R62" s="178">
        <f t="shared" si="12"/>
        <v>589458.81599999999</v>
      </c>
      <c r="S62" s="179">
        <f t="shared" si="13"/>
        <v>6484046.9759999998</v>
      </c>
      <c r="T62" s="180">
        <f t="shared" si="14"/>
        <v>6484046.9759999998</v>
      </c>
      <c r="U62" s="131"/>
    </row>
    <row r="63" spans="1:21" s="17" customFormat="1" ht="68" customHeight="1">
      <c r="A63" s="16"/>
      <c r="B63" s="46">
        <v>47</v>
      </c>
      <c r="C63" s="228" t="s">
        <v>2336</v>
      </c>
      <c r="D63" s="229" t="s">
        <v>2337</v>
      </c>
      <c r="E63" s="230" t="s">
        <v>2338</v>
      </c>
      <c r="F63" s="230" t="s">
        <v>2339</v>
      </c>
      <c r="G63" s="231" t="s">
        <v>2340</v>
      </c>
      <c r="H63" s="232">
        <v>46231</v>
      </c>
      <c r="I63" s="233" t="s">
        <v>2341</v>
      </c>
      <c r="J63" s="231" t="s">
        <v>58</v>
      </c>
      <c r="K63" s="231"/>
      <c r="L63" s="231"/>
      <c r="M63" s="233"/>
      <c r="N63" s="233"/>
      <c r="O63" s="234"/>
      <c r="P63" s="235"/>
      <c r="Q63" s="236">
        <v>13351818.18</v>
      </c>
      <c r="R63" s="237">
        <f t="shared" ref="R63" si="15">Q63*10%</f>
        <v>1335181.818</v>
      </c>
      <c r="S63" s="238">
        <f t="shared" ref="S63" si="16">SUM(Q63:R63)</f>
        <v>14686999.998</v>
      </c>
      <c r="T63" s="239">
        <f t="shared" ref="T63" si="17">SUM(S63:S63)</f>
        <v>14686999.998</v>
      </c>
      <c r="U63" s="168">
        <f t="shared" ref="U63:U68" si="18">T63</f>
        <v>14686999.998</v>
      </c>
    </row>
    <row r="64" spans="1:21" s="17" customFormat="1" ht="68" customHeight="1">
      <c r="A64" s="16"/>
      <c r="B64" s="46">
        <v>48</v>
      </c>
      <c r="C64" s="167" t="s">
        <v>2342</v>
      </c>
      <c r="D64" s="157" t="s">
        <v>65</v>
      </c>
      <c r="E64" s="158" t="s">
        <v>66</v>
      </c>
      <c r="F64" s="158" t="s">
        <v>2343</v>
      </c>
      <c r="G64" s="159" t="s">
        <v>2344</v>
      </c>
      <c r="H64" s="160">
        <v>46231</v>
      </c>
      <c r="I64" s="161" t="s">
        <v>2345</v>
      </c>
      <c r="J64" s="159" t="s">
        <v>1981</v>
      </c>
      <c r="K64" s="159"/>
      <c r="L64" s="159"/>
      <c r="M64" s="161"/>
      <c r="N64" s="161"/>
      <c r="O64" s="254"/>
      <c r="P64" s="162">
        <v>4648</v>
      </c>
      <c r="Q64" s="163">
        <v>105918624</v>
      </c>
      <c r="R64" s="164">
        <f t="shared" si="12"/>
        <v>10591862.4</v>
      </c>
      <c r="S64" s="165">
        <f t="shared" si="13"/>
        <v>116510486.40000001</v>
      </c>
      <c r="T64" s="166">
        <f t="shared" si="14"/>
        <v>116510486.40000001</v>
      </c>
      <c r="U64" s="168">
        <f t="shared" si="18"/>
        <v>116510486.40000001</v>
      </c>
    </row>
    <row r="65" spans="1:21" s="17" customFormat="1" ht="68" customHeight="1">
      <c r="A65" s="16"/>
      <c r="B65" s="46">
        <v>49</v>
      </c>
      <c r="C65" s="55"/>
      <c r="D65" s="47" t="s">
        <v>646</v>
      </c>
      <c r="E65" s="48"/>
      <c r="F65" s="48"/>
      <c r="G65" s="49"/>
      <c r="H65" s="50"/>
      <c r="I65" s="54"/>
      <c r="J65" s="49" t="s">
        <v>76</v>
      </c>
      <c r="K65" s="49"/>
      <c r="L65" s="49"/>
      <c r="M65" s="54"/>
      <c r="N65" s="54"/>
      <c r="O65" s="51"/>
      <c r="P65" s="56">
        <v>2684</v>
      </c>
      <c r="Q65" s="52">
        <v>61162992</v>
      </c>
      <c r="R65" s="53">
        <f t="shared" si="12"/>
        <v>6116299.2000000002</v>
      </c>
      <c r="S65" s="169">
        <f t="shared" si="13"/>
        <v>67279291.200000003</v>
      </c>
      <c r="T65" s="116">
        <f t="shared" si="14"/>
        <v>67279291.200000003</v>
      </c>
      <c r="U65" s="168">
        <f t="shared" si="18"/>
        <v>67279291.200000003</v>
      </c>
    </row>
    <row r="66" spans="1:21" s="17" customFormat="1" ht="68" customHeight="1">
      <c r="A66" s="16"/>
      <c r="B66" s="46">
        <v>50</v>
      </c>
      <c r="C66" s="181" t="s">
        <v>536</v>
      </c>
      <c r="D66" s="182" t="s">
        <v>65</v>
      </c>
      <c r="E66" s="183" t="s">
        <v>537</v>
      </c>
      <c r="F66" s="183" t="s">
        <v>2346</v>
      </c>
      <c r="G66" s="184" t="s">
        <v>2347</v>
      </c>
      <c r="H66" s="185">
        <v>46231</v>
      </c>
      <c r="I66" s="253" t="s">
        <v>2348</v>
      </c>
      <c r="J66" s="184" t="s">
        <v>76</v>
      </c>
      <c r="K66" s="184"/>
      <c r="L66" s="184"/>
      <c r="M66" s="253"/>
      <c r="N66" s="253"/>
      <c r="O66" s="186">
        <v>87648</v>
      </c>
      <c r="P66" s="187"/>
      <c r="Q66" s="188">
        <v>60211546.560000002</v>
      </c>
      <c r="R66" s="189">
        <f t="shared" si="12"/>
        <v>6021154.6560000004</v>
      </c>
      <c r="S66" s="190">
        <f t="shared" si="13"/>
        <v>66232701.216000006</v>
      </c>
      <c r="T66" s="191">
        <f t="shared" si="14"/>
        <v>66232701.216000006</v>
      </c>
      <c r="U66" s="168">
        <f t="shared" si="18"/>
        <v>66232701.216000006</v>
      </c>
    </row>
    <row r="67" spans="1:21" s="17" customFormat="1" ht="68" customHeight="1">
      <c r="A67" s="16"/>
      <c r="B67" s="46">
        <v>51</v>
      </c>
      <c r="C67" s="55"/>
      <c r="D67" s="47" t="s">
        <v>1878</v>
      </c>
      <c r="E67" s="48"/>
      <c r="F67" s="48"/>
      <c r="G67" s="49"/>
      <c r="H67" s="50"/>
      <c r="I67" s="54"/>
      <c r="J67" s="49" t="s">
        <v>58</v>
      </c>
      <c r="K67" s="49"/>
      <c r="L67" s="49"/>
      <c r="M67" s="54"/>
      <c r="N67" s="54"/>
      <c r="O67" s="51">
        <v>22696</v>
      </c>
      <c r="P67" s="56"/>
      <c r="Q67" s="52">
        <v>15591471.119999999</v>
      </c>
      <c r="R67" s="53">
        <f t="shared" si="12"/>
        <v>1559147.112</v>
      </c>
      <c r="S67" s="169">
        <f t="shared" si="13"/>
        <v>17150618.232000001</v>
      </c>
      <c r="T67" s="116">
        <f t="shared" si="14"/>
        <v>17150618.232000001</v>
      </c>
      <c r="U67" s="168">
        <f t="shared" si="18"/>
        <v>17150618.232000001</v>
      </c>
    </row>
    <row r="68" spans="1:21" s="17" customFormat="1" ht="68" customHeight="1">
      <c r="A68" s="16"/>
      <c r="B68" s="46">
        <v>52</v>
      </c>
      <c r="C68" s="55"/>
      <c r="D68" s="47" t="s">
        <v>60</v>
      </c>
      <c r="E68" s="48"/>
      <c r="F68" s="48"/>
      <c r="G68" s="49"/>
      <c r="H68" s="50"/>
      <c r="I68" s="54"/>
      <c r="J68" s="49" t="s">
        <v>1952</v>
      </c>
      <c r="K68" s="49"/>
      <c r="L68" s="49"/>
      <c r="M68" s="54"/>
      <c r="N68" s="54"/>
      <c r="O68" s="51">
        <v>153424</v>
      </c>
      <c r="P68" s="56"/>
      <c r="Q68" s="52">
        <v>105397685.28</v>
      </c>
      <c r="R68" s="53">
        <f t="shared" si="12"/>
        <v>10539768.528000001</v>
      </c>
      <c r="S68" s="169">
        <f t="shared" si="13"/>
        <v>115937453.808</v>
      </c>
      <c r="T68" s="116">
        <f t="shared" si="14"/>
        <v>115937453.808</v>
      </c>
      <c r="U68" s="168">
        <f t="shared" si="18"/>
        <v>115937453.808</v>
      </c>
    </row>
    <row r="69" spans="1:21" ht="107" customHeight="1">
      <c r="B69" s="46">
        <v>0</v>
      </c>
      <c r="C69" s="58" t="s">
        <v>15</v>
      </c>
      <c r="D69" s="57"/>
      <c r="E69" s="57"/>
      <c r="F69" s="57"/>
      <c r="G69" s="59"/>
      <c r="H69" s="60"/>
      <c r="I69" s="59"/>
      <c r="J69" s="61">
        <f>SUBTOTAL(9,J17:J68)</f>
        <v>0</v>
      </c>
      <c r="K69" s="61">
        <f>SUBTOTAL(9,K17:K68)</f>
        <v>0</v>
      </c>
      <c r="L69" s="61"/>
      <c r="M69" s="61">
        <f ca="1">SUM(M69)</f>
        <v>0</v>
      </c>
      <c r="N69" s="61">
        <f>SUBTOTAL(9,N17:N68)</f>
        <v>0</v>
      </c>
      <c r="O69" s="61">
        <f>SUBTOTAL(9,O17:O68)</f>
        <v>873464</v>
      </c>
      <c r="P69" s="61">
        <f>SUBTOTAL(9,P17:P68)</f>
        <v>193817.09</v>
      </c>
      <c r="Q69" s="62">
        <f>SUBTOTAL(9,Q17:Q68)</f>
        <v>5335173998.25</v>
      </c>
      <c r="R69" s="63">
        <f>SUM(R17:R68)</f>
        <v>533517399.82500011</v>
      </c>
      <c r="S69" s="63">
        <f>SUM(S17:S68)</f>
        <v>5868691398.0749989</v>
      </c>
      <c r="T69" s="64">
        <f>SUM(T17:T68)</f>
        <v>5868691398.0749989</v>
      </c>
      <c r="U69" s="34">
        <f>T69</f>
        <v>5868691398.0749989</v>
      </c>
    </row>
    <row r="70" spans="1:21" ht="71" customHeight="1">
      <c r="D70" s="35"/>
    </row>
    <row r="73" spans="1:21" ht="78" customHeight="1">
      <c r="C73" s="22" t="s">
        <v>16</v>
      </c>
      <c r="E73" s="23"/>
      <c r="F73" s="23"/>
      <c r="G73" s="23" t="s">
        <v>26</v>
      </c>
      <c r="H73" s="24"/>
      <c r="I73" s="23"/>
      <c r="J73" s="23"/>
      <c r="K73" s="23"/>
      <c r="L73" s="23"/>
      <c r="M73" s="23"/>
      <c r="N73" s="23"/>
      <c r="O73" s="25"/>
      <c r="P73" s="26"/>
      <c r="Q73" s="23" t="s">
        <v>27</v>
      </c>
      <c r="R73" s="27"/>
      <c r="S73" s="25"/>
      <c r="T73" s="21"/>
      <c r="U73" s="20"/>
    </row>
    <row r="74" spans="1:21" ht="38" customHeight="1">
      <c r="C74" s="9"/>
      <c r="D74" s="22"/>
      <c r="E74" s="6"/>
      <c r="F74" s="6"/>
      <c r="G74" s="6"/>
      <c r="H74" s="6"/>
      <c r="I74" s="18"/>
      <c r="J74" s="6"/>
      <c r="K74" s="6"/>
      <c r="L74" s="6"/>
      <c r="M74" s="6"/>
      <c r="N74" s="6"/>
      <c r="O74" s="19"/>
      <c r="P74" s="19"/>
      <c r="Q74" s="36"/>
      <c r="R74" s="19"/>
      <c r="S74" s="19"/>
      <c r="T74" s="19"/>
      <c r="U74" s="19"/>
    </row>
    <row r="75" spans="1:21" ht="38" customHeight="1">
      <c r="D75" s="9"/>
    </row>
    <row r="82" spans="2:3" ht="58" customHeight="1"/>
    <row r="83" spans="2:3" ht="68" customHeight="1">
      <c r="B83" s="120" t="s">
        <v>77</v>
      </c>
    </row>
    <row r="86" spans="2:3" ht="38" customHeight="1">
      <c r="C86" s="121"/>
    </row>
  </sheetData>
  <autoFilter ref="B16:T68" xr:uid="{EC4EE9C6-B516-A146-9B5A-3BE7E6D13B4C}">
    <sortState ref="B17:T69">
      <sortCondition ref="G16:G69"/>
    </sortState>
  </autoFilter>
  <mergeCells count="11">
    <mergeCell ref="U58:U61"/>
    <mergeCell ref="U34:U36"/>
    <mergeCell ref="U40:U42"/>
    <mergeCell ref="U37:U38"/>
    <mergeCell ref="U43:U50"/>
    <mergeCell ref="U51:U57"/>
    <mergeCell ref="U17:U19"/>
    <mergeCell ref="U21:U22"/>
    <mergeCell ref="U23:U25"/>
    <mergeCell ref="U30:U32"/>
    <mergeCell ref="U27:U29"/>
  </mergeCells>
  <phoneticPr fontId="3"/>
  <hyperlinks>
    <hyperlink ref="C58" r:id="rId1" location="id=3944&amp;model=res.partner" display="https://ntp-odoo.com/web - id=3944&amp;model=res.partner" xr:uid="{CC4D4575-C5AD-454B-851B-487D328B30F3}"/>
  </hyperlinks>
  <printOptions horizontalCentered="1"/>
  <pageMargins left="0.25" right="0.25" top="1" bottom="0.75" header="0.3" footer="0"/>
  <pageSetup paperSize="9" scale="16" fitToHeight="15" pageOrder="overThenDown" orientation="landscape" verticalDpi="30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C3D7E-836F-C340-B750-292EB2817CD3}">
  <sheetPr>
    <tabColor rgb="FF92D050"/>
    <pageSetUpPr fitToPage="1"/>
  </sheetPr>
  <dimension ref="A5:AB419"/>
  <sheetViews>
    <sheetView showGridLines="0" zoomScaleNormal="100" zoomScaleSheetLayoutView="30" workbookViewId="0">
      <pane ySplit="10" topLeftCell="A407" activePane="bottomLeft" state="frozen"/>
      <selection pane="bottomLeft" activeCell="I11" sqref="I11:I413"/>
    </sheetView>
  </sheetViews>
  <sheetFormatPr baseColWidth="10" defaultColWidth="11.5" defaultRowHeight="30" customHeight="1"/>
  <cols>
    <col min="1" max="1" width="7.33203125" style="66" customWidth="1"/>
    <col min="2" max="2" width="61.33203125" style="67" customWidth="1"/>
    <col min="3" max="5" width="12.83203125" style="66" customWidth="1"/>
    <col min="6" max="6" width="17.33203125" style="68" customWidth="1"/>
    <col min="7" max="7" width="14.6640625" style="69" customWidth="1"/>
    <col min="8" max="8" width="22" style="68" customWidth="1"/>
    <col min="9" max="10" width="12.83203125" style="68" customWidth="1"/>
    <col min="11" max="11" width="11.33203125" style="68" customWidth="1"/>
    <col min="12" max="12" width="12.83203125" style="68" customWidth="1"/>
    <col min="13" max="13" width="14.83203125" style="68" customWidth="1"/>
    <col min="14" max="14" width="15.5" style="70" customWidth="1"/>
    <col min="15" max="15" width="12.83203125" style="71" customWidth="1"/>
    <col min="16" max="16" width="12.83203125" style="70" customWidth="1"/>
    <col min="17" max="17" width="12.6640625" style="70" customWidth="1"/>
    <col min="18" max="19" width="12.83203125" style="70" customWidth="1"/>
    <col min="20" max="20" width="14.5" style="70" customWidth="1"/>
    <col min="21" max="21" width="14.83203125" style="111" customWidth="1"/>
    <col min="22" max="22" width="23.5" style="111" customWidth="1"/>
    <col min="23" max="23" width="20" style="111" customWidth="1"/>
    <col min="24" max="24" width="21.1640625" style="72" bestFit="1" customWidth="1"/>
    <col min="25" max="25" width="19.5" style="66" bestFit="1" customWidth="1"/>
    <col min="26" max="26" width="15.33203125" style="66" bestFit="1" customWidth="1"/>
    <col min="27" max="49" width="8.1640625" style="66" customWidth="1"/>
    <col min="50" max="257" width="11.5" style="66"/>
    <col min="258" max="258" width="4.6640625" style="66" customWidth="1"/>
    <col min="259" max="259" width="10.1640625" style="66" customWidth="1"/>
    <col min="260" max="260" width="51.1640625" style="66" customWidth="1"/>
    <col min="261" max="264" width="17.6640625" style="66" customWidth="1"/>
    <col min="265" max="267" width="17.83203125" style="66" customWidth="1"/>
    <col min="268" max="268" width="0" style="66" hidden="1" customWidth="1"/>
    <col min="269" max="269" width="17.83203125" style="66" customWidth="1"/>
    <col min="270" max="270" width="22.83203125" style="66" customWidth="1"/>
    <col min="271" max="273" width="17.83203125" style="66" customWidth="1"/>
    <col min="274" max="274" width="15.6640625" style="66" customWidth="1"/>
    <col min="275" max="275" width="22.33203125" style="66" customWidth="1"/>
    <col min="276" max="278" width="17.83203125" style="66" customWidth="1"/>
    <col min="279" max="279" width="22.6640625" style="66" customWidth="1"/>
    <col min="280" max="280" width="20.33203125" style="66" customWidth="1"/>
    <col min="281" max="281" width="8.33203125" style="66" customWidth="1"/>
    <col min="282" max="282" width="28.5" style="66" bestFit="1" customWidth="1"/>
    <col min="283" max="513" width="11.5" style="66"/>
    <col min="514" max="514" width="4.6640625" style="66" customWidth="1"/>
    <col min="515" max="515" width="10.1640625" style="66" customWidth="1"/>
    <col min="516" max="516" width="51.1640625" style="66" customWidth="1"/>
    <col min="517" max="520" width="17.6640625" style="66" customWidth="1"/>
    <col min="521" max="523" width="17.83203125" style="66" customWidth="1"/>
    <col min="524" max="524" width="0" style="66" hidden="1" customWidth="1"/>
    <col min="525" max="525" width="17.83203125" style="66" customWidth="1"/>
    <col min="526" max="526" width="22.83203125" style="66" customWidth="1"/>
    <col min="527" max="529" width="17.83203125" style="66" customWidth="1"/>
    <col min="530" max="530" width="15.6640625" style="66" customWidth="1"/>
    <col min="531" max="531" width="22.33203125" style="66" customWidth="1"/>
    <col min="532" max="534" width="17.83203125" style="66" customWidth="1"/>
    <col min="535" max="535" width="22.6640625" style="66" customWidth="1"/>
    <col min="536" max="536" width="20.33203125" style="66" customWidth="1"/>
    <col min="537" max="537" width="8.33203125" style="66" customWidth="1"/>
    <col min="538" max="538" width="28.5" style="66" bestFit="1" customWidth="1"/>
    <col min="539" max="769" width="11.5" style="66"/>
    <col min="770" max="770" width="4.6640625" style="66" customWidth="1"/>
    <col min="771" max="771" width="10.1640625" style="66" customWidth="1"/>
    <col min="772" max="772" width="51.1640625" style="66" customWidth="1"/>
    <col min="773" max="776" width="17.6640625" style="66" customWidth="1"/>
    <col min="777" max="779" width="17.83203125" style="66" customWidth="1"/>
    <col min="780" max="780" width="0" style="66" hidden="1" customWidth="1"/>
    <col min="781" max="781" width="17.83203125" style="66" customWidth="1"/>
    <col min="782" max="782" width="22.83203125" style="66" customWidth="1"/>
    <col min="783" max="785" width="17.83203125" style="66" customWidth="1"/>
    <col min="786" max="786" width="15.6640625" style="66" customWidth="1"/>
    <col min="787" max="787" width="22.33203125" style="66" customWidth="1"/>
    <col min="788" max="790" width="17.83203125" style="66" customWidth="1"/>
    <col min="791" max="791" width="22.6640625" style="66" customWidth="1"/>
    <col min="792" max="792" width="20.33203125" style="66" customWidth="1"/>
    <col min="793" max="793" width="8.33203125" style="66" customWidth="1"/>
    <col min="794" max="794" width="28.5" style="66" bestFit="1" customWidth="1"/>
    <col min="795" max="1025" width="11.5" style="66"/>
    <col min="1026" max="1026" width="4.6640625" style="66" customWidth="1"/>
    <col min="1027" max="1027" width="10.1640625" style="66" customWidth="1"/>
    <col min="1028" max="1028" width="51.1640625" style="66" customWidth="1"/>
    <col min="1029" max="1032" width="17.6640625" style="66" customWidth="1"/>
    <col min="1033" max="1035" width="17.83203125" style="66" customWidth="1"/>
    <col min="1036" max="1036" width="0" style="66" hidden="1" customWidth="1"/>
    <col min="1037" max="1037" width="17.83203125" style="66" customWidth="1"/>
    <col min="1038" max="1038" width="22.83203125" style="66" customWidth="1"/>
    <col min="1039" max="1041" width="17.83203125" style="66" customWidth="1"/>
    <col min="1042" max="1042" width="15.6640625" style="66" customWidth="1"/>
    <col min="1043" max="1043" width="22.33203125" style="66" customWidth="1"/>
    <col min="1044" max="1046" width="17.83203125" style="66" customWidth="1"/>
    <col min="1047" max="1047" width="22.6640625" style="66" customWidth="1"/>
    <col min="1048" max="1048" width="20.33203125" style="66" customWidth="1"/>
    <col min="1049" max="1049" width="8.33203125" style="66" customWidth="1"/>
    <col min="1050" max="1050" width="28.5" style="66" bestFit="1" customWidth="1"/>
    <col min="1051" max="1281" width="11.5" style="66"/>
    <col min="1282" max="1282" width="4.6640625" style="66" customWidth="1"/>
    <col min="1283" max="1283" width="10.1640625" style="66" customWidth="1"/>
    <col min="1284" max="1284" width="51.1640625" style="66" customWidth="1"/>
    <col min="1285" max="1288" width="17.6640625" style="66" customWidth="1"/>
    <col min="1289" max="1291" width="17.83203125" style="66" customWidth="1"/>
    <col min="1292" max="1292" width="0" style="66" hidden="1" customWidth="1"/>
    <col min="1293" max="1293" width="17.83203125" style="66" customWidth="1"/>
    <col min="1294" max="1294" width="22.83203125" style="66" customWidth="1"/>
    <col min="1295" max="1297" width="17.83203125" style="66" customWidth="1"/>
    <col min="1298" max="1298" width="15.6640625" style="66" customWidth="1"/>
    <col min="1299" max="1299" width="22.33203125" style="66" customWidth="1"/>
    <col min="1300" max="1302" width="17.83203125" style="66" customWidth="1"/>
    <col min="1303" max="1303" width="22.6640625" style="66" customWidth="1"/>
    <col min="1304" max="1304" width="20.33203125" style="66" customWidth="1"/>
    <col min="1305" max="1305" width="8.33203125" style="66" customWidth="1"/>
    <col min="1306" max="1306" width="28.5" style="66" bestFit="1" customWidth="1"/>
    <col min="1307" max="1537" width="11.5" style="66"/>
    <col min="1538" max="1538" width="4.6640625" style="66" customWidth="1"/>
    <col min="1539" max="1539" width="10.1640625" style="66" customWidth="1"/>
    <col min="1540" max="1540" width="51.1640625" style="66" customWidth="1"/>
    <col min="1541" max="1544" width="17.6640625" style="66" customWidth="1"/>
    <col min="1545" max="1547" width="17.83203125" style="66" customWidth="1"/>
    <col min="1548" max="1548" width="0" style="66" hidden="1" customWidth="1"/>
    <col min="1549" max="1549" width="17.83203125" style="66" customWidth="1"/>
    <col min="1550" max="1550" width="22.83203125" style="66" customWidth="1"/>
    <col min="1551" max="1553" width="17.83203125" style="66" customWidth="1"/>
    <col min="1554" max="1554" width="15.6640625" style="66" customWidth="1"/>
    <col min="1555" max="1555" width="22.33203125" style="66" customWidth="1"/>
    <col min="1556" max="1558" width="17.83203125" style="66" customWidth="1"/>
    <col min="1559" max="1559" width="22.6640625" style="66" customWidth="1"/>
    <col min="1560" max="1560" width="20.33203125" style="66" customWidth="1"/>
    <col min="1561" max="1561" width="8.33203125" style="66" customWidth="1"/>
    <col min="1562" max="1562" width="28.5" style="66" bestFit="1" customWidth="1"/>
    <col min="1563" max="1793" width="11.5" style="66"/>
    <col min="1794" max="1794" width="4.6640625" style="66" customWidth="1"/>
    <col min="1795" max="1795" width="10.1640625" style="66" customWidth="1"/>
    <col min="1796" max="1796" width="51.1640625" style="66" customWidth="1"/>
    <col min="1797" max="1800" width="17.6640625" style="66" customWidth="1"/>
    <col min="1801" max="1803" width="17.83203125" style="66" customWidth="1"/>
    <col min="1804" max="1804" width="0" style="66" hidden="1" customWidth="1"/>
    <col min="1805" max="1805" width="17.83203125" style="66" customWidth="1"/>
    <col min="1806" max="1806" width="22.83203125" style="66" customWidth="1"/>
    <col min="1807" max="1809" width="17.83203125" style="66" customWidth="1"/>
    <col min="1810" max="1810" width="15.6640625" style="66" customWidth="1"/>
    <col min="1811" max="1811" width="22.33203125" style="66" customWidth="1"/>
    <col min="1812" max="1814" width="17.83203125" style="66" customWidth="1"/>
    <col min="1815" max="1815" width="22.6640625" style="66" customWidth="1"/>
    <col min="1816" max="1816" width="20.33203125" style="66" customWidth="1"/>
    <col min="1817" max="1817" width="8.33203125" style="66" customWidth="1"/>
    <col min="1818" max="1818" width="28.5" style="66" bestFit="1" customWidth="1"/>
    <col min="1819" max="2049" width="11.5" style="66"/>
    <col min="2050" max="2050" width="4.6640625" style="66" customWidth="1"/>
    <col min="2051" max="2051" width="10.1640625" style="66" customWidth="1"/>
    <col min="2052" max="2052" width="51.1640625" style="66" customWidth="1"/>
    <col min="2053" max="2056" width="17.6640625" style="66" customWidth="1"/>
    <col min="2057" max="2059" width="17.83203125" style="66" customWidth="1"/>
    <col min="2060" max="2060" width="0" style="66" hidden="1" customWidth="1"/>
    <col min="2061" max="2061" width="17.83203125" style="66" customWidth="1"/>
    <col min="2062" max="2062" width="22.83203125" style="66" customWidth="1"/>
    <col min="2063" max="2065" width="17.83203125" style="66" customWidth="1"/>
    <col min="2066" max="2066" width="15.6640625" style="66" customWidth="1"/>
    <col min="2067" max="2067" width="22.33203125" style="66" customWidth="1"/>
    <col min="2068" max="2070" width="17.83203125" style="66" customWidth="1"/>
    <col min="2071" max="2071" width="22.6640625" style="66" customWidth="1"/>
    <col min="2072" max="2072" width="20.33203125" style="66" customWidth="1"/>
    <col min="2073" max="2073" width="8.33203125" style="66" customWidth="1"/>
    <col min="2074" max="2074" width="28.5" style="66" bestFit="1" customWidth="1"/>
    <col min="2075" max="2305" width="11.5" style="66"/>
    <col min="2306" max="2306" width="4.6640625" style="66" customWidth="1"/>
    <col min="2307" max="2307" width="10.1640625" style="66" customWidth="1"/>
    <col min="2308" max="2308" width="51.1640625" style="66" customWidth="1"/>
    <col min="2309" max="2312" width="17.6640625" style="66" customWidth="1"/>
    <col min="2313" max="2315" width="17.83203125" style="66" customWidth="1"/>
    <col min="2316" max="2316" width="0" style="66" hidden="1" customWidth="1"/>
    <col min="2317" max="2317" width="17.83203125" style="66" customWidth="1"/>
    <col min="2318" max="2318" width="22.83203125" style="66" customWidth="1"/>
    <col min="2319" max="2321" width="17.83203125" style="66" customWidth="1"/>
    <col min="2322" max="2322" width="15.6640625" style="66" customWidth="1"/>
    <col min="2323" max="2323" width="22.33203125" style="66" customWidth="1"/>
    <col min="2324" max="2326" width="17.83203125" style="66" customWidth="1"/>
    <col min="2327" max="2327" width="22.6640625" style="66" customWidth="1"/>
    <col min="2328" max="2328" width="20.33203125" style="66" customWidth="1"/>
    <col min="2329" max="2329" width="8.33203125" style="66" customWidth="1"/>
    <col min="2330" max="2330" width="28.5" style="66" bestFit="1" customWidth="1"/>
    <col min="2331" max="2561" width="11.5" style="66"/>
    <col min="2562" max="2562" width="4.6640625" style="66" customWidth="1"/>
    <col min="2563" max="2563" width="10.1640625" style="66" customWidth="1"/>
    <col min="2564" max="2564" width="51.1640625" style="66" customWidth="1"/>
    <col min="2565" max="2568" width="17.6640625" style="66" customWidth="1"/>
    <col min="2569" max="2571" width="17.83203125" style="66" customWidth="1"/>
    <col min="2572" max="2572" width="0" style="66" hidden="1" customWidth="1"/>
    <col min="2573" max="2573" width="17.83203125" style="66" customWidth="1"/>
    <col min="2574" max="2574" width="22.83203125" style="66" customWidth="1"/>
    <col min="2575" max="2577" width="17.83203125" style="66" customWidth="1"/>
    <col min="2578" max="2578" width="15.6640625" style="66" customWidth="1"/>
    <col min="2579" max="2579" width="22.33203125" style="66" customWidth="1"/>
    <col min="2580" max="2582" width="17.83203125" style="66" customWidth="1"/>
    <col min="2583" max="2583" width="22.6640625" style="66" customWidth="1"/>
    <col min="2584" max="2584" width="20.33203125" style="66" customWidth="1"/>
    <col min="2585" max="2585" width="8.33203125" style="66" customWidth="1"/>
    <col min="2586" max="2586" width="28.5" style="66" bestFit="1" customWidth="1"/>
    <col min="2587" max="2817" width="11.5" style="66"/>
    <col min="2818" max="2818" width="4.6640625" style="66" customWidth="1"/>
    <col min="2819" max="2819" width="10.1640625" style="66" customWidth="1"/>
    <col min="2820" max="2820" width="51.1640625" style="66" customWidth="1"/>
    <col min="2821" max="2824" width="17.6640625" style="66" customWidth="1"/>
    <col min="2825" max="2827" width="17.83203125" style="66" customWidth="1"/>
    <col min="2828" max="2828" width="0" style="66" hidden="1" customWidth="1"/>
    <col min="2829" max="2829" width="17.83203125" style="66" customWidth="1"/>
    <col min="2830" max="2830" width="22.83203125" style="66" customWidth="1"/>
    <col min="2831" max="2833" width="17.83203125" style="66" customWidth="1"/>
    <col min="2834" max="2834" width="15.6640625" style="66" customWidth="1"/>
    <col min="2835" max="2835" width="22.33203125" style="66" customWidth="1"/>
    <col min="2836" max="2838" width="17.83203125" style="66" customWidth="1"/>
    <col min="2839" max="2839" width="22.6640625" style="66" customWidth="1"/>
    <col min="2840" max="2840" width="20.33203125" style="66" customWidth="1"/>
    <col min="2841" max="2841" width="8.33203125" style="66" customWidth="1"/>
    <col min="2842" max="2842" width="28.5" style="66" bestFit="1" customWidth="1"/>
    <col min="2843" max="3073" width="11.5" style="66"/>
    <col min="3074" max="3074" width="4.6640625" style="66" customWidth="1"/>
    <col min="3075" max="3075" width="10.1640625" style="66" customWidth="1"/>
    <col min="3076" max="3076" width="51.1640625" style="66" customWidth="1"/>
    <col min="3077" max="3080" width="17.6640625" style="66" customWidth="1"/>
    <col min="3081" max="3083" width="17.83203125" style="66" customWidth="1"/>
    <col min="3084" max="3084" width="0" style="66" hidden="1" customWidth="1"/>
    <col min="3085" max="3085" width="17.83203125" style="66" customWidth="1"/>
    <col min="3086" max="3086" width="22.83203125" style="66" customWidth="1"/>
    <col min="3087" max="3089" width="17.83203125" style="66" customWidth="1"/>
    <col min="3090" max="3090" width="15.6640625" style="66" customWidth="1"/>
    <col min="3091" max="3091" width="22.33203125" style="66" customWidth="1"/>
    <col min="3092" max="3094" width="17.83203125" style="66" customWidth="1"/>
    <col min="3095" max="3095" width="22.6640625" style="66" customWidth="1"/>
    <col min="3096" max="3096" width="20.33203125" style="66" customWidth="1"/>
    <col min="3097" max="3097" width="8.33203125" style="66" customWidth="1"/>
    <col min="3098" max="3098" width="28.5" style="66" bestFit="1" customWidth="1"/>
    <col min="3099" max="3329" width="11.5" style="66"/>
    <col min="3330" max="3330" width="4.6640625" style="66" customWidth="1"/>
    <col min="3331" max="3331" width="10.1640625" style="66" customWidth="1"/>
    <col min="3332" max="3332" width="51.1640625" style="66" customWidth="1"/>
    <col min="3333" max="3336" width="17.6640625" style="66" customWidth="1"/>
    <col min="3337" max="3339" width="17.83203125" style="66" customWidth="1"/>
    <col min="3340" max="3340" width="0" style="66" hidden="1" customWidth="1"/>
    <col min="3341" max="3341" width="17.83203125" style="66" customWidth="1"/>
    <col min="3342" max="3342" width="22.83203125" style="66" customWidth="1"/>
    <col min="3343" max="3345" width="17.83203125" style="66" customWidth="1"/>
    <col min="3346" max="3346" width="15.6640625" style="66" customWidth="1"/>
    <col min="3347" max="3347" width="22.33203125" style="66" customWidth="1"/>
    <col min="3348" max="3350" width="17.83203125" style="66" customWidth="1"/>
    <col min="3351" max="3351" width="22.6640625" style="66" customWidth="1"/>
    <col min="3352" max="3352" width="20.33203125" style="66" customWidth="1"/>
    <col min="3353" max="3353" width="8.33203125" style="66" customWidth="1"/>
    <col min="3354" max="3354" width="28.5" style="66" bestFit="1" customWidth="1"/>
    <col min="3355" max="3585" width="11.5" style="66"/>
    <col min="3586" max="3586" width="4.6640625" style="66" customWidth="1"/>
    <col min="3587" max="3587" width="10.1640625" style="66" customWidth="1"/>
    <col min="3588" max="3588" width="51.1640625" style="66" customWidth="1"/>
    <col min="3589" max="3592" width="17.6640625" style="66" customWidth="1"/>
    <col min="3593" max="3595" width="17.83203125" style="66" customWidth="1"/>
    <col min="3596" max="3596" width="0" style="66" hidden="1" customWidth="1"/>
    <col min="3597" max="3597" width="17.83203125" style="66" customWidth="1"/>
    <col min="3598" max="3598" width="22.83203125" style="66" customWidth="1"/>
    <col min="3599" max="3601" width="17.83203125" style="66" customWidth="1"/>
    <col min="3602" max="3602" width="15.6640625" style="66" customWidth="1"/>
    <col min="3603" max="3603" width="22.33203125" style="66" customWidth="1"/>
    <col min="3604" max="3606" width="17.83203125" style="66" customWidth="1"/>
    <col min="3607" max="3607" width="22.6640625" style="66" customWidth="1"/>
    <col min="3608" max="3608" width="20.33203125" style="66" customWidth="1"/>
    <col min="3609" max="3609" width="8.33203125" style="66" customWidth="1"/>
    <col min="3610" max="3610" width="28.5" style="66" bestFit="1" customWidth="1"/>
    <col min="3611" max="3841" width="11.5" style="66"/>
    <col min="3842" max="3842" width="4.6640625" style="66" customWidth="1"/>
    <col min="3843" max="3843" width="10.1640625" style="66" customWidth="1"/>
    <col min="3844" max="3844" width="51.1640625" style="66" customWidth="1"/>
    <col min="3845" max="3848" width="17.6640625" style="66" customWidth="1"/>
    <col min="3849" max="3851" width="17.83203125" style="66" customWidth="1"/>
    <col min="3852" max="3852" width="0" style="66" hidden="1" customWidth="1"/>
    <col min="3853" max="3853" width="17.83203125" style="66" customWidth="1"/>
    <col min="3854" max="3854" width="22.83203125" style="66" customWidth="1"/>
    <col min="3855" max="3857" width="17.83203125" style="66" customWidth="1"/>
    <col min="3858" max="3858" width="15.6640625" style="66" customWidth="1"/>
    <col min="3859" max="3859" width="22.33203125" style="66" customWidth="1"/>
    <col min="3860" max="3862" width="17.83203125" style="66" customWidth="1"/>
    <col min="3863" max="3863" width="22.6640625" style="66" customWidth="1"/>
    <col min="3864" max="3864" width="20.33203125" style="66" customWidth="1"/>
    <col min="3865" max="3865" width="8.33203125" style="66" customWidth="1"/>
    <col min="3866" max="3866" width="28.5" style="66" bestFit="1" customWidth="1"/>
    <col min="3867" max="4097" width="11.5" style="66"/>
    <col min="4098" max="4098" width="4.6640625" style="66" customWidth="1"/>
    <col min="4099" max="4099" width="10.1640625" style="66" customWidth="1"/>
    <col min="4100" max="4100" width="51.1640625" style="66" customWidth="1"/>
    <col min="4101" max="4104" width="17.6640625" style="66" customWidth="1"/>
    <col min="4105" max="4107" width="17.83203125" style="66" customWidth="1"/>
    <col min="4108" max="4108" width="0" style="66" hidden="1" customWidth="1"/>
    <col min="4109" max="4109" width="17.83203125" style="66" customWidth="1"/>
    <col min="4110" max="4110" width="22.83203125" style="66" customWidth="1"/>
    <col min="4111" max="4113" width="17.83203125" style="66" customWidth="1"/>
    <col min="4114" max="4114" width="15.6640625" style="66" customWidth="1"/>
    <col min="4115" max="4115" width="22.33203125" style="66" customWidth="1"/>
    <col min="4116" max="4118" width="17.83203125" style="66" customWidth="1"/>
    <col min="4119" max="4119" width="22.6640625" style="66" customWidth="1"/>
    <col min="4120" max="4120" width="20.33203125" style="66" customWidth="1"/>
    <col min="4121" max="4121" width="8.33203125" style="66" customWidth="1"/>
    <col min="4122" max="4122" width="28.5" style="66" bestFit="1" customWidth="1"/>
    <col min="4123" max="4353" width="11.5" style="66"/>
    <col min="4354" max="4354" width="4.6640625" style="66" customWidth="1"/>
    <col min="4355" max="4355" width="10.1640625" style="66" customWidth="1"/>
    <col min="4356" max="4356" width="51.1640625" style="66" customWidth="1"/>
    <col min="4357" max="4360" width="17.6640625" style="66" customWidth="1"/>
    <col min="4361" max="4363" width="17.83203125" style="66" customWidth="1"/>
    <col min="4364" max="4364" width="0" style="66" hidden="1" customWidth="1"/>
    <col min="4365" max="4365" width="17.83203125" style="66" customWidth="1"/>
    <col min="4366" max="4366" width="22.83203125" style="66" customWidth="1"/>
    <col min="4367" max="4369" width="17.83203125" style="66" customWidth="1"/>
    <col min="4370" max="4370" width="15.6640625" style="66" customWidth="1"/>
    <col min="4371" max="4371" width="22.33203125" style="66" customWidth="1"/>
    <col min="4372" max="4374" width="17.83203125" style="66" customWidth="1"/>
    <col min="4375" max="4375" width="22.6640625" style="66" customWidth="1"/>
    <col min="4376" max="4376" width="20.33203125" style="66" customWidth="1"/>
    <col min="4377" max="4377" width="8.33203125" style="66" customWidth="1"/>
    <col min="4378" max="4378" width="28.5" style="66" bestFit="1" customWidth="1"/>
    <col min="4379" max="4609" width="11.5" style="66"/>
    <col min="4610" max="4610" width="4.6640625" style="66" customWidth="1"/>
    <col min="4611" max="4611" width="10.1640625" style="66" customWidth="1"/>
    <col min="4612" max="4612" width="51.1640625" style="66" customWidth="1"/>
    <col min="4613" max="4616" width="17.6640625" style="66" customWidth="1"/>
    <col min="4617" max="4619" width="17.83203125" style="66" customWidth="1"/>
    <col min="4620" max="4620" width="0" style="66" hidden="1" customWidth="1"/>
    <col min="4621" max="4621" width="17.83203125" style="66" customWidth="1"/>
    <col min="4622" max="4622" width="22.83203125" style="66" customWidth="1"/>
    <col min="4623" max="4625" width="17.83203125" style="66" customWidth="1"/>
    <col min="4626" max="4626" width="15.6640625" style="66" customWidth="1"/>
    <col min="4627" max="4627" width="22.33203125" style="66" customWidth="1"/>
    <col min="4628" max="4630" width="17.83203125" style="66" customWidth="1"/>
    <col min="4631" max="4631" width="22.6640625" style="66" customWidth="1"/>
    <col min="4632" max="4632" width="20.33203125" style="66" customWidth="1"/>
    <col min="4633" max="4633" width="8.33203125" style="66" customWidth="1"/>
    <col min="4634" max="4634" width="28.5" style="66" bestFit="1" customWidth="1"/>
    <col min="4635" max="4865" width="11.5" style="66"/>
    <col min="4866" max="4866" width="4.6640625" style="66" customWidth="1"/>
    <col min="4867" max="4867" width="10.1640625" style="66" customWidth="1"/>
    <col min="4868" max="4868" width="51.1640625" style="66" customWidth="1"/>
    <col min="4869" max="4872" width="17.6640625" style="66" customWidth="1"/>
    <col min="4873" max="4875" width="17.83203125" style="66" customWidth="1"/>
    <col min="4876" max="4876" width="0" style="66" hidden="1" customWidth="1"/>
    <col min="4877" max="4877" width="17.83203125" style="66" customWidth="1"/>
    <col min="4878" max="4878" width="22.83203125" style="66" customWidth="1"/>
    <col min="4879" max="4881" width="17.83203125" style="66" customWidth="1"/>
    <col min="4882" max="4882" width="15.6640625" style="66" customWidth="1"/>
    <col min="4883" max="4883" width="22.33203125" style="66" customWidth="1"/>
    <col min="4884" max="4886" width="17.83203125" style="66" customWidth="1"/>
    <col min="4887" max="4887" width="22.6640625" style="66" customWidth="1"/>
    <col min="4888" max="4888" width="20.33203125" style="66" customWidth="1"/>
    <col min="4889" max="4889" width="8.33203125" style="66" customWidth="1"/>
    <col min="4890" max="4890" width="28.5" style="66" bestFit="1" customWidth="1"/>
    <col min="4891" max="5121" width="11.5" style="66"/>
    <col min="5122" max="5122" width="4.6640625" style="66" customWidth="1"/>
    <col min="5123" max="5123" width="10.1640625" style="66" customWidth="1"/>
    <col min="5124" max="5124" width="51.1640625" style="66" customWidth="1"/>
    <col min="5125" max="5128" width="17.6640625" style="66" customWidth="1"/>
    <col min="5129" max="5131" width="17.83203125" style="66" customWidth="1"/>
    <col min="5132" max="5132" width="0" style="66" hidden="1" customWidth="1"/>
    <col min="5133" max="5133" width="17.83203125" style="66" customWidth="1"/>
    <col min="5134" max="5134" width="22.83203125" style="66" customWidth="1"/>
    <col min="5135" max="5137" width="17.83203125" style="66" customWidth="1"/>
    <col min="5138" max="5138" width="15.6640625" style="66" customWidth="1"/>
    <col min="5139" max="5139" width="22.33203125" style="66" customWidth="1"/>
    <col min="5140" max="5142" width="17.83203125" style="66" customWidth="1"/>
    <col min="5143" max="5143" width="22.6640625" style="66" customWidth="1"/>
    <col min="5144" max="5144" width="20.33203125" style="66" customWidth="1"/>
    <col min="5145" max="5145" width="8.33203125" style="66" customWidth="1"/>
    <col min="5146" max="5146" width="28.5" style="66" bestFit="1" customWidth="1"/>
    <col min="5147" max="5377" width="11.5" style="66"/>
    <col min="5378" max="5378" width="4.6640625" style="66" customWidth="1"/>
    <col min="5379" max="5379" width="10.1640625" style="66" customWidth="1"/>
    <col min="5380" max="5380" width="51.1640625" style="66" customWidth="1"/>
    <col min="5381" max="5384" width="17.6640625" style="66" customWidth="1"/>
    <col min="5385" max="5387" width="17.83203125" style="66" customWidth="1"/>
    <col min="5388" max="5388" width="0" style="66" hidden="1" customWidth="1"/>
    <col min="5389" max="5389" width="17.83203125" style="66" customWidth="1"/>
    <col min="5390" max="5390" width="22.83203125" style="66" customWidth="1"/>
    <col min="5391" max="5393" width="17.83203125" style="66" customWidth="1"/>
    <col min="5394" max="5394" width="15.6640625" style="66" customWidth="1"/>
    <col min="5395" max="5395" width="22.33203125" style="66" customWidth="1"/>
    <col min="5396" max="5398" width="17.83203125" style="66" customWidth="1"/>
    <col min="5399" max="5399" width="22.6640625" style="66" customWidth="1"/>
    <col min="5400" max="5400" width="20.33203125" style="66" customWidth="1"/>
    <col min="5401" max="5401" width="8.33203125" style="66" customWidth="1"/>
    <col min="5402" max="5402" width="28.5" style="66" bestFit="1" customWidth="1"/>
    <col min="5403" max="5633" width="11.5" style="66"/>
    <col min="5634" max="5634" width="4.6640625" style="66" customWidth="1"/>
    <col min="5635" max="5635" width="10.1640625" style="66" customWidth="1"/>
    <col min="5636" max="5636" width="51.1640625" style="66" customWidth="1"/>
    <col min="5637" max="5640" width="17.6640625" style="66" customWidth="1"/>
    <col min="5641" max="5643" width="17.83203125" style="66" customWidth="1"/>
    <col min="5644" max="5644" width="0" style="66" hidden="1" customWidth="1"/>
    <col min="5645" max="5645" width="17.83203125" style="66" customWidth="1"/>
    <col min="5646" max="5646" width="22.83203125" style="66" customWidth="1"/>
    <col min="5647" max="5649" width="17.83203125" style="66" customWidth="1"/>
    <col min="5650" max="5650" width="15.6640625" style="66" customWidth="1"/>
    <col min="5651" max="5651" width="22.33203125" style="66" customWidth="1"/>
    <col min="5652" max="5654" width="17.83203125" style="66" customWidth="1"/>
    <col min="5655" max="5655" width="22.6640625" style="66" customWidth="1"/>
    <col min="5656" max="5656" width="20.33203125" style="66" customWidth="1"/>
    <col min="5657" max="5657" width="8.33203125" style="66" customWidth="1"/>
    <col min="5658" max="5658" width="28.5" style="66" bestFit="1" customWidth="1"/>
    <col min="5659" max="5889" width="11.5" style="66"/>
    <col min="5890" max="5890" width="4.6640625" style="66" customWidth="1"/>
    <col min="5891" max="5891" width="10.1640625" style="66" customWidth="1"/>
    <col min="5892" max="5892" width="51.1640625" style="66" customWidth="1"/>
    <col min="5893" max="5896" width="17.6640625" style="66" customWidth="1"/>
    <col min="5897" max="5899" width="17.83203125" style="66" customWidth="1"/>
    <col min="5900" max="5900" width="0" style="66" hidden="1" customWidth="1"/>
    <col min="5901" max="5901" width="17.83203125" style="66" customWidth="1"/>
    <col min="5902" max="5902" width="22.83203125" style="66" customWidth="1"/>
    <col min="5903" max="5905" width="17.83203125" style="66" customWidth="1"/>
    <col min="5906" max="5906" width="15.6640625" style="66" customWidth="1"/>
    <col min="5907" max="5907" width="22.33203125" style="66" customWidth="1"/>
    <col min="5908" max="5910" width="17.83203125" style="66" customWidth="1"/>
    <col min="5911" max="5911" width="22.6640625" style="66" customWidth="1"/>
    <col min="5912" max="5912" width="20.33203125" style="66" customWidth="1"/>
    <col min="5913" max="5913" width="8.33203125" style="66" customWidth="1"/>
    <col min="5914" max="5914" width="28.5" style="66" bestFit="1" customWidth="1"/>
    <col min="5915" max="6145" width="11.5" style="66"/>
    <col min="6146" max="6146" width="4.6640625" style="66" customWidth="1"/>
    <col min="6147" max="6147" width="10.1640625" style="66" customWidth="1"/>
    <col min="6148" max="6148" width="51.1640625" style="66" customWidth="1"/>
    <col min="6149" max="6152" width="17.6640625" style="66" customWidth="1"/>
    <col min="6153" max="6155" width="17.83203125" style="66" customWidth="1"/>
    <col min="6156" max="6156" width="0" style="66" hidden="1" customWidth="1"/>
    <col min="6157" max="6157" width="17.83203125" style="66" customWidth="1"/>
    <col min="6158" max="6158" width="22.83203125" style="66" customWidth="1"/>
    <col min="6159" max="6161" width="17.83203125" style="66" customWidth="1"/>
    <col min="6162" max="6162" width="15.6640625" style="66" customWidth="1"/>
    <col min="6163" max="6163" width="22.33203125" style="66" customWidth="1"/>
    <col min="6164" max="6166" width="17.83203125" style="66" customWidth="1"/>
    <col min="6167" max="6167" width="22.6640625" style="66" customWidth="1"/>
    <col min="6168" max="6168" width="20.33203125" style="66" customWidth="1"/>
    <col min="6169" max="6169" width="8.33203125" style="66" customWidth="1"/>
    <col min="6170" max="6170" width="28.5" style="66" bestFit="1" customWidth="1"/>
    <col min="6171" max="6401" width="11.5" style="66"/>
    <col min="6402" max="6402" width="4.6640625" style="66" customWidth="1"/>
    <col min="6403" max="6403" width="10.1640625" style="66" customWidth="1"/>
    <col min="6404" max="6404" width="51.1640625" style="66" customWidth="1"/>
    <col min="6405" max="6408" width="17.6640625" style="66" customWidth="1"/>
    <col min="6409" max="6411" width="17.83203125" style="66" customWidth="1"/>
    <col min="6412" max="6412" width="0" style="66" hidden="1" customWidth="1"/>
    <col min="6413" max="6413" width="17.83203125" style="66" customWidth="1"/>
    <col min="6414" max="6414" width="22.83203125" style="66" customWidth="1"/>
    <col min="6415" max="6417" width="17.83203125" style="66" customWidth="1"/>
    <col min="6418" max="6418" width="15.6640625" style="66" customWidth="1"/>
    <col min="6419" max="6419" width="22.33203125" style="66" customWidth="1"/>
    <col min="6420" max="6422" width="17.83203125" style="66" customWidth="1"/>
    <col min="6423" max="6423" width="22.6640625" style="66" customWidth="1"/>
    <col min="6424" max="6424" width="20.33203125" style="66" customWidth="1"/>
    <col min="6425" max="6425" width="8.33203125" style="66" customWidth="1"/>
    <col min="6426" max="6426" width="28.5" style="66" bestFit="1" customWidth="1"/>
    <col min="6427" max="6657" width="11.5" style="66"/>
    <col min="6658" max="6658" width="4.6640625" style="66" customWidth="1"/>
    <col min="6659" max="6659" width="10.1640625" style="66" customWidth="1"/>
    <col min="6660" max="6660" width="51.1640625" style="66" customWidth="1"/>
    <col min="6661" max="6664" width="17.6640625" style="66" customWidth="1"/>
    <col min="6665" max="6667" width="17.83203125" style="66" customWidth="1"/>
    <col min="6668" max="6668" width="0" style="66" hidden="1" customWidth="1"/>
    <col min="6669" max="6669" width="17.83203125" style="66" customWidth="1"/>
    <col min="6670" max="6670" width="22.83203125" style="66" customWidth="1"/>
    <col min="6671" max="6673" width="17.83203125" style="66" customWidth="1"/>
    <col min="6674" max="6674" width="15.6640625" style="66" customWidth="1"/>
    <col min="6675" max="6675" width="22.33203125" style="66" customWidth="1"/>
    <col min="6676" max="6678" width="17.83203125" style="66" customWidth="1"/>
    <col min="6679" max="6679" width="22.6640625" style="66" customWidth="1"/>
    <col min="6680" max="6680" width="20.33203125" style="66" customWidth="1"/>
    <col min="6681" max="6681" width="8.33203125" style="66" customWidth="1"/>
    <col min="6682" max="6682" width="28.5" style="66" bestFit="1" customWidth="1"/>
    <col min="6683" max="6913" width="11.5" style="66"/>
    <col min="6914" max="6914" width="4.6640625" style="66" customWidth="1"/>
    <col min="6915" max="6915" width="10.1640625" style="66" customWidth="1"/>
    <col min="6916" max="6916" width="51.1640625" style="66" customWidth="1"/>
    <col min="6917" max="6920" width="17.6640625" style="66" customWidth="1"/>
    <col min="6921" max="6923" width="17.83203125" style="66" customWidth="1"/>
    <col min="6924" max="6924" width="0" style="66" hidden="1" customWidth="1"/>
    <col min="6925" max="6925" width="17.83203125" style="66" customWidth="1"/>
    <col min="6926" max="6926" width="22.83203125" style="66" customWidth="1"/>
    <col min="6927" max="6929" width="17.83203125" style="66" customWidth="1"/>
    <col min="6930" max="6930" width="15.6640625" style="66" customWidth="1"/>
    <col min="6931" max="6931" width="22.33203125" style="66" customWidth="1"/>
    <col min="6932" max="6934" width="17.83203125" style="66" customWidth="1"/>
    <col min="6935" max="6935" width="22.6640625" style="66" customWidth="1"/>
    <col min="6936" max="6936" width="20.33203125" style="66" customWidth="1"/>
    <col min="6937" max="6937" width="8.33203125" style="66" customWidth="1"/>
    <col min="6938" max="6938" width="28.5" style="66" bestFit="1" customWidth="1"/>
    <col min="6939" max="7169" width="11.5" style="66"/>
    <col min="7170" max="7170" width="4.6640625" style="66" customWidth="1"/>
    <col min="7171" max="7171" width="10.1640625" style="66" customWidth="1"/>
    <col min="7172" max="7172" width="51.1640625" style="66" customWidth="1"/>
    <col min="7173" max="7176" width="17.6640625" style="66" customWidth="1"/>
    <col min="7177" max="7179" width="17.83203125" style="66" customWidth="1"/>
    <col min="7180" max="7180" width="0" style="66" hidden="1" customWidth="1"/>
    <col min="7181" max="7181" width="17.83203125" style="66" customWidth="1"/>
    <col min="7182" max="7182" width="22.83203125" style="66" customWidth="1"/>
    <col min="7183" max="7185" width="17.83203125" style="66" customWidth="1"/>
    <col min="7186" max="7186" width="15.6640625" style="66" customWidth="1"/>
    <col min="7187" max="7187" width="22.33203125" style="66" customWidth="1"/>
    <col min="7188" max="7190" width="17.83203125" style="66" customWidth="1"/>
    <col min="7191" max="7191" width="22.6640625" style="66" customWidth="1"/>
    <col min="7192" max="7192" width="20.33203125" style="66" customWidth="1"/>
    <col min="7193" max="7193" width="8.33203125" style="66" customWidth="1"/>
    <col min="7194" max="7194" width="28.5" style="66" bestFit="1" customWidth="1"/>
    <col min="7195" max="7425" width="11.5" style="66"/>
    <col min="7426" max="7426" width="4.6640625" style="66" customWidth="1"/>
    <col min="7427" max="7427" width="10.1640625" style="66" customWidth="1"/>
    <col min="7428" max="7428" width="51.1640625" style="66" customWidth="1"/>
    <col min="7429" max="7432" width="17.6640625" style="66" customWidth="1"/>
    <col min="7433" max="7435" width="17.83203125" style="66" customWidth="1"/>
    <col min="7436" max="7436" width="0" style="66" hidden="1" customWidth="1"/>
    <col min="7437" max="7437" width="17.83203125" style="66" customWidth="1"/>
    <col min="7438" max="7438" width="22.83203125" style="66" customWidth="1"/>
    <col min="7439" max="7441" width="17.83203125" style="66" customWidth="1"/>
    <col min="7442" max="7442" width="15.6640625" style="66" customWidth="1"/>
    <col min="7443" max="7443" width="22.33203125" style="66" customWidth="1"/>
    <col min="7444" max="7446" width="17.83203125" style="66" customWidth="1"/>
    <col min="7447" max="7447" width="22.6640625" style="66" customWidth="1"/>
    <col min="7448" max="7448" width="20.33203125" style="66" customWidth="1"/>
    <col min="7449" max="7449" width="8.33203125" style="66" customWidth="1"/>
    <col min="7450" max="7450" width="28.5" style="66" bestFit="1" customWidth="1"/>
    <col min="7451" max="7681" width="11.5" style="66"/>
    <col min="7682" max="7682" width="4.6640625" style="66" customWidth="1"/>
    <col min="7683" max="7683" width="10.1640625" style="66" customWidth="1"/>
    <col min="7684" max="7684" width="51.1640625" style="66" customWidth="1"/>
    <col min="7685" max="7688" width="17.6640625" style="66" customWidth="1"/>
    <col min="7689" max="7691" width="17.83203125" style="66" customWidth="1"/>
    <col min="7692" max="7692" width="0" style="66" hidden="1" customWidth="1"/>
    <col min="7693" max="7693" width="17.83203125" style="66" customWidth="1"/>
    <col min="7694" max="7694" width="22.83203125" style="66" customWidth="1"/>
    <col min="7695" max="7697" width="17.83203125" style="66" customWidth="1"/>
    <col min="7698" max="7698" width="15.6640625" style="66" customWidth="1"/>
    <col min="7699" max="7699" width="22.33203125" style="66" customWidth="1"/>
    <col min="7700" max="7702" width="17.83203125" style="66" customWidth="1"/>
    <col min="7703" max="7703" width="22.6640625" style="66" customWidth="1"/>
    <col min="7704" max="7704" width="20.33203125" style="66" customWidth="1"/>
    <col min="7705" max="7705" width="8.33203125" style="66" customWidth="1"/>
    <col min="7706" max="7706" width="28.5" style="66" bestFit="1" customWidth="1"/>
    <col min="7707" max="7937" width="11.5" style="66"/>
    <col min="7938" max="7938" width="4.6640625" style="66" customWidth="1"/>
    <col min="7939" max="7939" width="10.1640625" style="66" customWidth="1"/>
    <col min="7940" max="7940" width="51.1640625" style="66" customWidth="1"/>
    <col min="7941" max="7944" width="17.6640625" style="66" customWidth="1"/>
    <col min="7945" max="7947" width="17.83203125" style="66" customWidth="1"/>
    <col min="7948" max="7948" width="0" style="66" hidden="1" customWidth="1"/>
    <col min="7949" max="7949" width="17.83203125" style="66" customWidth="1"/>
    <col min="7950" max="7950" width="22.83203125" style="66" customWidth="1"/>
    <col min="7951" max="7953" width="17.83203125" style="66" customWidth="1"/>
    <col min="7954" max="7954" width="15.6640625" style="66" customWidth="1"/>
    <col min="7955" max="7955" width="22.33203125" style="66" customWidth="1"/>
    <col min="7956" max="7958" width="17.83203125" style="66" customWidth="1"/>
    <col min="7959" max="7959" width="22.6640625" style="66" customWidth="1"/>
    <col min="7960" max="7960" width="20.33203125" style="66" customWidth="1"/>
    <col min="7961" max="7961" width="8.33203125" style="66" customWidth="1"/>
    <col min="7962" max="7962" width="28.5" style="66" bestFit="1" customWidth="1"/>
    <col min="7963" max="8193" width="11.5" style="66"/>
    <col min="8194" max="8194" width="4.6640625" style="66" customWidth="1"/>
    <col min="8195" max="8195" width="10.1640625" style="66" customWidth="1"/>
    <col min="8196" max="8196" width="51.1640625" style="66" customWidth="1"/>
    <col min="8197" max="8200" width="17.6640625" style="66" customWidth="1"/>
    <col min="8201" max="8203" width="17.83203125" style="66" customWidth="1"/>
    <col min="8204" max="8204" width="0" style="66" hidden="1" customWidth="1"/>
    <col min="8205" max="8205" width="17.83203125" style="66" customWidth="1"/>
    <col min="8206" max="8206" width="22.83203125" style="66" customWidth="1"/>
    <col min="8207" max="8209" width="17.83203125" style="66" customWidth="1"/>
    <col min="8210" max="8210" width="15.6640625" style="66" customWidth="1"/>
    <col min="8211" max="8211" width="22.33203125" style="66" customWidth="1"/>
    <col min="8212" max="8214" width="17.83203125" style="66" customWidth="1"/>
    <col min="8215" max="8215" width="22.6640625" style="66" customWidth="1"/>
    <col min="8216" max="8216" width="20.33203125" style="66" customWidth="1"/>
    <col min="8217" max="8217" width="8.33203125" style="66" customWidth="1"/>
    <col min="8218" max="8218" width="28.5" style="66" bestFit="1" customWidth="1"/>
    <col min="8219" max="8449" width="11.5" style="66"/>
    <col min="8450" max="8450" width="4.6640625" style="66" customWidth="1"/>
    <col min="8451" max="8451" width="10.1640625" style="66" customWidth="1"/>
    <col min="8452" max="8452" width="51.1640625" style="66" customWidth="1"/>
    <col min="8453" max="8456" width="17.6640625" style="66" customWidth="1"/>
    <col min="8457" max="8459" width="17.83203125" style="66" customWidth="1"/>
    <col min="8460" max="8460" width="0" style="66" hidden="1" customWidth="1"/>
    <col min="8461" max="8461" width="17.83203125" style="66" customWidth="1"/>
    <col min="8462" max="8462" width="22.83203125" style="66" customWidth="1"/>
    <col min="8463" max="8465" width="17.83203125" style="66" customWidth="1"/>
    <col min="8466" max="8466" width="15.6640625" style="66" customWidth="1"/>
    <col min="8467" max="8467" width="22.33203125" style="66" customWidth="1"/>
    <col min="8468" max="8470" width="17.83203125" style="66" customWidth="1"/>
    <col min="8471" max="8471" width="22.6640625" style="66" customWidth="1"/>
    <col min="8472" max="8472" width="20.33203125" style="66" customWidth="1"/>
    <col min="8473" max="8473" width="8.33203125" style="66" customWidth="1"/>
    <col min="8474" max="8474" width="28.5" style="66" bestFit="1" customWidth="1"/>
    <col min="8475" max="8705" width="11.5" style="66"/>
    <col min="8706" max="8706" width="4.6640625" style="66" customWidth="1"/>
    <col min="8707" max="8707" width="10.1640625" style="66" customWidth="1"/>
    <col min="8708" max="8708" width="51.1640625" style="66" customWidth="1"/>
    <col min="8709" max="8712" width="17.6640625" style="66" customWidth="1"/>
    <col min="8713" max="8715" width="17.83203125" style="66" customWidth="1"/>
    <col min="8716" max="8716" width="0" style="66" hidden="1" customWidth="1"/>
    <col min="8717" max="8717" width="17.83203125" style="66" customWidth="1"/>
    <col min="8718" max="8718" width="22.83203125" style="66" customWidth="1"/>
    <col min="8719" max="8721" width="17.83203125" style="66" customWidth="1"/>
    <col min="8722" max="8722" width="15.6640625" style="66" customWidth="1"/>
    <col min="8723" max="8723" width="22.33203125" style="66" customWidth="1"/>
    <col min="8724" max="8726" width="17.83203125" style="66" customWidth="1"/>
    <col min="8727" max="8727" width="22.6640625" style="66" customWidth="1"/>
    <col min="8728" max="8728" width="20.33203125" style="66" customWidth="1"/>
    <col min="8729" max="8729" width="8.33203125" style="66" customWidth="1"/>
    <col min="8730" max="8730" width="28.5" style="66" bestFit="1" customWidth="1"/>
    <col min="8731" max="8961" width="11.5" style="66"/>
    <col min="8962" max="8962" width="4.6640625" style="66" customWidth="1"/>
    <col min="8963" max="8963" width="10.1640625" style="66" customWidth="1"/>
    <col min="8964" max="8964" width="51.1640625" style="66" customWidth="1"/>
    <col min="8965" max="8968" width="17.6640625" style="66" customWidth="1"/>
    <col min="8969" max="8971" width="17.83203125" style="66" customWidth="1"/>
    <col min="8972" max="8972" width="0" style="66" hidden="1" customWidth="1"/>
    <col min="8973" max="8973" width="17.83203125" style="66" customWidth="1"/>
    <col min="8974" max="8974" width="22.83203125" style="66" customWidth="1"/>
    <col min="8975" max="8977" width="17.83203125" style="66" customWidth="1"/>
    <col min="8978" max="8978" width="15.6640625" style="66" customWidth="1"/>
    <col min="8979" max="8979" width="22.33203125" style="66" customWidth="1"/>
    <col min="8980" max="8982" width="17.83203125" style="66" customWidth="1"/>
    <col min="8983" max="8983" width="22.6640625" style="66" customWidth="1"/>
    <col min="8984" max="8984" width="20.33203125" style="66" customWidth="1"/>
    <col min="8985" max="8985" width="8.33203125" style="66" customWidth="1"/>
    <col min="8986" max="8986" width="28.5" style="66" bestFit="1" customWidth="1"/>
    <col min="8987" max="9217" width="11.5" style="66"/>
    <col min="9218" max="9218" width="4.6640625" style="66" customWidth="1"/>
    <col min="9219" max="9219" width="10.1640625" style="66" customWidth="1"/>
    <col min="9220" max="9220" width="51.1640625" style="66" customWidth="1"/>
    <col min="9221" max="9224" width="17.6640625" style="66" customWidth="1"/>
    <col min="9225" max="9227" width="17.83203125" style="66" customWidth="1"/>
    <col min="9228" max="9228" width="0" style="66" hidden="1" customWidth="1"/>
    <col min="9229" max="9229" width="17.83203125" style="66" customWidth="1"/>
    <col min="9230" max="9230" width="22.83203125" style="66" customWidth="1"/>
    <col min="9231" max="9233" width="17.83203125" style="66" customWidth="1"/>
    <col min="9234" max="9234" width="15.6640625" style="66" customWidth="1"/>
    <col min="9235" max="9235" width="22.33203125" style="66" customWidth="1"/>
    <col min="9236" max="9238" width="17.83203125" style="66" customWidth="1"/>
    <col min="9239" max="9239" width="22.6640625" style="66" customWidth="1"/>
    <col min="9240" max="9240" width="20.33203125" style="66" customWidth="1"/>
    <col min="9241" max="9241" width="8.33203125" style="66" customWidth="1"/>
    <col min="9242" max="9242" width="28.5" style="66" bestFit="1" customWidth="1"/>
    <col min="9243" max="9473" width="11.5" style="66"/>
    <col min="9474" max="9474" width="4.6640625" style="66" customWidth="1"/>
    <col min="9475" max="9475" width="10.1640625" style="66" customWidth="1"/>
    <col min="9476" max="9476" width="51.1640625" style="66" customWidth="1"/>
    <col min="9477" max="9480" width="17.6640625" style="66" customWidth="1"/>
    <col min="9481" max="9483" width="17.83203125" style="66" customWidth="1"/>
    <col min="9484" max="9484" width="0" style="66" hidden="1" customWidth="1"/>
    <col min="9485" max="9485" width="17.83203125" style="66" customWidth="1"/>
    <col min="9486" max="9486" width="22.83203125" style="66" customWidth="1"/>
    <col min="9487" max="9489" width="17.83203125" style="66" customWidth="1"/>
    <col min="9490" max="9490" width="15.6640625" style="66" customWidth="1"/>
    <col min="9491" max="9491" width="22.33203125" style="66" customWidth="1"/>
    <col min="9492" max="9494" width="17.83203125" style="66" customWidth="1"/>
    <col min="9495" max="9495" width="22.6640625" style="66" customWidth="1"/>
    <col min="9496" max="9496" width="20.33203125" style="66" customWidth="1"/>
    <col min="9497" max="9497" width="8.33203125" style="66" customWidth="1"/>
    <col min="9498" max="9498" width="28.5" style="66" bestFit="1" customWidth="1"/>
    <col min="9499" max="9729" width="11.5" style="66"/>
    <col min="9730" max="9730" width="4.6640625" style="66" customWidth="1"/>
    <col min="9731" max="9731" width="10.1640625" style="66" customWidth="1"/>
    <col min="9732" max="9732" width="51.1640625" style="66" customWidth="1"/>
    <col min="9733" max="9736" width="17.6640625" style="66" customWidth="1"/>
    <col min="9737" max="9739" width="17.83203125" style="66" customWidth="1"/>
    <col min="9740" max="9740" width="0" style="66" hidden="1" customWidth="1"/>
    <col min="9741" max="9741" width="17.83203125" style="66" customWidth="1"/>
    <col min="9742" max="9742" width="22.83203125" style="66" customWidth="1"/>
    <col min="9743" max="9745" width="17.83203125" style="66" customWidth="1"/>
    <col min="9746" max="9746" width="15.6640625" style="66" customWidth="1"/>
    <col min="9747" max="9747" width="22.33203125" style="66" customWidth="1"/>
    <col min="9748" max="9750" width="17.83203125" style="66" customWidth="1"/>
    <col min="9751" max="9751" width="22.6640625" style="66" customWidth="1"/>
    <col min="9752" max="9752" width="20.33203125" style="66" customWidth="1"/>
    <col min="9753" max="9753" width="8.33203125" style="66" customWidth="1"/>
    <col min="9754" max="9754" width="28.5" style="66" bestFit="1" customWidth="1"/>
    <col min="9755" max="9985" width="11.5" style="66"/>
    <col min="9986" max="9986" width="4.6640625" style="66" customWidth="1"/>
    <col min="9987" max="9987" width="10.1640625" style="66" customWidth="1"/>
    <col min="9988" max="9988" width="51.1640625" style="66" customWidth="1"/>
    <col min="9989" max="9992" width="17.6640625" style="66" customWidth="1"/>
    <col min="9993" max="9995" width="17.83203125" style="66" customWidth="1"/>
    <col min="9996" max="9996" width="0" style="66" hidden="1" customWidth="1"/>
    <col min="9997" max="9997" width="17.83203125" style="66" customWidth="1"/>
    <col min="9998" max="9998" width="22.83203125" style="66" customWidth="1"/>
    <col min="9999" max="10001" width="17.83203125" style="66" customWidth="1"/>
    <col min="10002" max="10002" width="15.6640625" style="66" customWidth="1"/>
    <col min="10003" max="10003" width="22.33203125" style="66" customWidth="1"/>
    <col min="10004" max="10006" width="17.83203125" style="66" customWidth="1"/>
    <col min="10007" max="10007" width="22.6640625" style="66" customWidth="1"/>
    <col min="10008" max="10008" width="20.33203125" style="66" customWidth="1"/>
    <col min="10009" max="10009" width="8.33203125" style="66" customWidth="1"/>
    <col min="10010" max="10010" width="28.5" style="66" bestFit="1" customWidth="1"/>
    <col min="10011" max="10241" width="11.5" style="66"/>
    <col min="10242" max="10242" width="4.6640625" style="66" customWidth="1"/>
    <col min="10243" max="10243" width="10.1640625" style="66" customWidth="1"/>
    <col min="10244" max="10244" width="51.1640625" style="66" customWidth="1"/>
    <col min="10245" max="10248" width="17.6640625" style="66" customWidth="1"/>
    <col min="10249" max="10251" width="17.83203125" style="66" customWidth="1"/>
    <col min="10252" max="10252" width="0" style="66" hidden="1" customWidth="1"/>
    <col min="10253" max="10253" width="17.83203125" style="66" customWidth="1"/>
    <col min="10254" max="10254" width="22.83203125" style="66" customWidth="1"/>
    <col min="10255" max="10257" width="17.83203125" style="66" customWidth="1"/>
    <col min="10258" max="10258" width="15.6640625" style="66" customWidth="1"/>
    <col min="10259" max="10259" width="22.33203125" style="66" customWidth="1"/>
    <col min="10260" max="10262" width="17.83203125" style="66" customWidth="1"/>
    <col min="10263" max="10263" width="22.6640625" style="66" customWidth="1"/>
    <col min="10264" max="10264" width="20.33203125" style="66" customWidth="1"/>
    <col min="10265" max="10265" width="8.33203125" style="66" customWidth="1"/>
    <col min="10266" max="10266" width="28.5" style="66" bestFit="1" customWidth="1"/>
    <col min="10267" max="10497" width="11.5" style="66"/>
    <col min="10498" max="10498" width="4.6640625" style="66" customWidth="1"/>
    <col min="10499" max="10499" width="10.1640625" style="66" customWidth="1"/>
    <col min="10500" max="10500" width="51.1640625" style="66" customWidth="1"/>
    <col min="10501" max="10504" width="17.6640625" style="66" customWidth="1"/>
    <col min="10505" max="10507" width="17.83203125" style="66" customWidth="1"/>
    <col min="10508" max="10508" width="0" style="66" hidden="1" customWidth="1"/>
    <col min="10509" max="10509" width="17.83203125" style="66" customWidth="1"/>
    <col min="10510" max="10510" width="22.83203125" style="66" customWidth="1"/>
    <col min="10511" max="10513" width="17.83203125" style="66" customWidth="1"/>
    <col min="10514" max="10514" width="15.6640625" style="66" customWidth="1"/>
    <col min="10515" max="10515" width="22.33203125" style="66" customWidth="1"/>
    <col min="10516" max="10518" width="17.83203125" style="66" customWidth="1"/>
    <col min="10519" max="10519" width="22.6640625" style="66" customWidth="1"/>
    <col min="10520" max="10520" width="20.33203125" style="66" customWidth="1"/>
    <col min="10521" max="10521" width="8.33203125" style="66" customWidth="1"/>
    <col min="10522" max="10522" width="28.5" style="66" bestFit="1" customWidth="1"/>
    <col min="10523" max="10753" width="11.5" style="66"/>
    <col min="10754" max="10754" width="4.6640625" style="66" customWidth="1"/>
    <col min="10755" max="10755" width="10.1640625" style="66" customWidth="1"/>
    <col min="10756" max="10756" width="51.1640625" style="66" customWidth="1"/>
    <col min="10757" max="10760" width="17.6640625" style="66" customWidth="1"/>
    <col min="10761" max="10763" width="17.83203125" style="66" customWidth="1"/>
    <col min="10764" max="10764" width="0" style="66" hidden="1" customWidth="1"/>
    <col min="10765" max="10765" width="17.83203125" style="66" customWidth="1"/>
    <col min="10766" max="10766" width="22.83203125" style="66" customWidth="1"/>
    <col min="10767" max="10769" width="17.83203125" style="66" customWidth="1"/>
    <col min="10770" max="10770" width="15.6640625" style="66" customWidth="1"/>
    <col min="10771" max="10771" width="22.33203125" style="66" customWidth="1"/>
    <col min="10772" max="10774" width="17.83203125" style="66" customWidth="1"/>
    <col min="10775" max="10775" width="22.6640625" style="66" customWidth="1"/>
    <col min="10776" max="10776" width="20.33203125" style="66" customWidth="1"/>
    <col min="10777" max="10777" width="8.33203125" style="66" customWidth="1"/>
    <col min="10778" max="10778" width="28.5" style="66" bestFit="1" customWidth="1"/>
    <col min="10779" max="11009" width="11.5" style="66"/>
    <col min="11010" max="11010" width="4.6640625" style="66" customWidth="1"/>
    <col min="11011" max="11011" width="10.1640625" style="66" customWidth="1"/>
    <col min="11012" max="11012" width="51.1640625" style="66" customWidth="1"/>
    <col min="11013" max="11016" width="17.6640625" style="66" customWidth="1"/>
    <col min="11017" max="11019" width="17.83203125" style="66" customWidth="1"/>
    <col min="11020" max="11020" width="0" style="66" hidden="1" customWidth="1"/>
    <col min="11021" max="11021" width="17.83203125" style="66" customWidth="1"/>
    <col min="11022" max="11022" width="22.83203125" style="66" customWidth="1"/>
    <col min="11023" max="11025" width="17.83203125" style="66" customWidth="1"/>
    <col min="11026" max="11026" width="15.6640625" style="66" customWidth="1"/>
    <col min="11027" max="11027" width="22.33203125" style="66" customWidth="1"/>
    <col min="11028" max="11030" width="17.83203125" style="66" customWidth="1"/>
    <col min="11031" max="11031" width="22.6640625" style="66" customWidth="1"/>
    <col min="11032" max="11032" width="20.33203125" style="66" customWidth="1"/>
    <col min="11033" max="11033" width="8.33203125" style="66" customWidth="1"/>
    <col min="11034" max="11034" width="28.5" style="66" bestFit="1" customWidth="1"/>
    <col min="11035" max="11265" width="11.5" style="66"/>
    <col min="11266" max="11266" width="4.6640625" style="66" customWidth="1"/>
    <col min="11267" max="11267" width="10.1640625" style="66" customWidth="1"/>
    <col min="11268" max="11268" width="51.1640625" style="66" customWidth="1"/>
    <col min="11269" max="11272" width="17.6640625" style="66" customWidth="1"/>
    <col min="11273" max="11275" width="17.83203125" style="66" customWidth="1"/>
    <col min="11276" max="11276" width="0" style="66" hidden="1" customWidth="1"/>
    <col min="11277" max="11277" width="17.83203125" style="66" customWidth="1"/>
    <col min="11278" max="11278" width="22.83203125" style="66" customWidth="1"/>
    <col min="11279" max="11281" width="17.83203125" style="66" customWidth="1"/>
    <col min="11282" max="11282" width="15.6640625" style="66" customWidth="1"/>
    <col min="11283" max="11283" width="22.33203125" style="66" customWidth="1"/>
    <col min="11284" max="11286" width="17.83203125" style="66" customWidth="1"/>
    <col min="11287" max="11287" width="22.6640625" style="66" customWidth="1"/>
    <col min="11288" max="11288" width="20.33203125" style="66" customWidth="1"/>
    <col min="11289" max="11289" width="8.33203125" style="66" customWidth="1"/>
    <col min="11290" max="11290" width="28.5" style="66" bestFit="1" customWidth="1"/>
    <col min="11291" max="11521" width="11.5" style="66"/>
    <col min="11522" max="11522" width="4.6640625" style="66" customWidth="1"/>
    <col min="11523" max="11523" width="10.1640625" style="66" customWidth="1"/>
    <col min="11524" max="11524" width="51.1640625" style="66" customWidth="1"/>
    <col min="11525" max="11528" width="17.6640625" style="66" customWidth="1"/>
    <col min="11529" max="11531" width="17.83203125" style="66" customWidth="1"/>
    <col min="11532" max="11532" width="0" style="66" hidden="1" customWidth="1"/>
    <col min="11533" max="11533" width="17.83203125" style="66" customWidth="1"/>
    <col min="11534" max="11534" width="22.83203125" style="66" customWidth="1"/>
    <col min="11535" max="11537" width="17.83203125" style="66" customWidth="1"/>
    <col min="11538" max="11538" width="15.6640625" style="66" customWidth="1"/>
    <col min="11539" max="11539" width="22.33203125" style="66" customWidth="1"/>
    <col min="11540" max="11542" width="17.83203125" style="66" customWidth="1"/>
    <col min="11543" max="11543" width="22.6640625" style="66" customWidth="1"/>
    <col min="11544" max="11544" width="20.33203125" style="66" customWidth="1"/>
    <col min="11545" max="11545" width="8.33203125" style="66" customWidth="1"/>
    <col min="11546" max="11546" width="28.5" style="66" bestFit="1" customWidth="1"/>
    <col min="11547" max="11777" width="11.5" style="66"/>
    <col min="11778" max="11778" width="4.6640625" style="66" customWidth="1"/>
    <col min="11779" max="11779" width="10.1640625" style="66" customWidth="1"/>
    <col min="11780" max="11780" width="51.1640625" style="66" customWidth="1"/>
    <col min="11781" max="11784" width="17.6640625" style="66" customWidth="1"/>
    <col min="11785" max="11787" width="17.83203125" style="66" customWidth="1"/>
    <col min="11788" max="11788" width="0" style="66" hidden="1" customWidth="1"/>
    <col min="11789" max="11789" width="17.83203125" style="66" customWidth="1"/>
    <col min="11790" max="11790" width="22.83203125" style="66" customWidth="1"/>
    <col min="11791" max="11793" width="17.83203125" style="66" customWidth="1"/>
    <col min="11794" max="11794" width="15.6640625" style="66" customWidth="1"/>
    <col min="11795" max="11795" width="22.33203125" style="66" customWidth="1"/>
    <col min="11796" max="11798" width="17.83203125" style="66" customWidth="1"/>
    <col min="11799" max="11799" width="22.6640625" style="66" customWidth="1"/>
    <col min="11800" max="11800" width="20.33203125" style="66" customWidth="1"/>
    <col min="11801" max="11801" width="8.33203125" style="66" customWidth="1"/>
    <col min="11802" max="11802" width="28.5" style="66" bestFit="1" customWidth="1"/>
    <col min="11803" max="12033" width="11.5" style="66"/>
    <col min="12034" max="12034" width="4.6640625" style="66" customWidth="1"/>
    <col min="12035" max="12035" width="10.1640625" style="66" customWidth="1"/>
    <col min="12036" max="12036" width="51.1640625" style="66" customWidth="1"/>
    <col min="12037" max="12040" width="17.6640625" style="66" customWidth="1"/>
    <col min="12041" max="12043" width="17.83203125" style="66" customWidth="1"/>
    <col min="12044" max="12044" width="0" style="66" hidden="1" customWidth="1"/>
    <col min="12045" max="12045" width="17.83203125" style="66" customWidth="1"/>
    <col min="12046" max="12046" width="22.83203125" style="66" customWidth="1"/>
    <col min="12047" max="12049" width="17.83203125" style="66" customWidth="1"/>
    <col min="12050" max="12050" width="15.6640625" style="66" customWidth="1"/>
    <col min="12051" max="12051" width="22.33203125" style="66" customWidth="1"/>
    <col min="12052" max="12054" width="17.83203125" style="66" customWidth="1"/>
    <col min="12055" max="12055" width="22.6640625" style="66" customWidth="1"/>
    <col min="12056" max="12056" width="20.33203125" style="66" customWidth="1"/>
    <col min="12057" max="12057" width="8.33203125" style="66" customWidth="1"/>
    <col min="12058" max="12058" width="28.5" style="66" bestFit="1" customWidth="1"/>
    <col min="12059" max="12289" width="11.5" style="66"/>
    <col min="12290" max="12290" width="4.6640625" style="66" customWidth="1"/>
    <col min="12291" max="12291" width="10.1640625" style="66" customWidth="1"/>
    <col min="12292" max="12292" width="51.1640625" style="66" customWidth="1"/>
    <col min="12293" max="12296" width="17.6640625" style="66" customWidth="1"/>
    <col min="12297" max="12299" width="17.83203125" style="66" customWidth="1"/>
    <col min="12300" max="12300" width="0" style="66" hidden="1" customWidth="1"/>
    <col min="12301" max="12301" width="17.83203125" style="66" customWidth="1"/>
    <col min="12302" max="12302" width="22.83203125" style="66" customWidth="1"/>
    <col min="12303" max="12305" width="17.83203125" style="66" customWidth="1"/>
    <col min="12306" max="12306" width="15.6640625" style="66" customWidth="1"/>
    <col min="12307" max="12307" width="22.33203125" style="66" customWidth="1"/>
    <col min="12308" max="12310" width="17.83203125" style="66" customWidth="1"/>
    <col min="12311" max="12311" width="22.6640625" style="66" customWidth="1"/>
    <col min="12312" max="12312" width="20.33203125" style="66" customWidth="1"/>
    <col min="12313" max="12313" width="8.33203125" style="66" customWidth="1"/>
    <col min="12314" max="12314" width="28.5" style="66" bestFit="1" customWidth="1"/>
    <col min="12315" max="12545" width="11.5" style="66"/>
    <col min="12546" max="12546" width="4.6640625" style="66" customWidth="1"/>
    <col min="12547" max="12547" width="10.1640625" style="66" customWidth="1"/>
    <col min="12548" max="12548" width="51.1640625" style="66" customWidth="1"/>
    <col min="12549" max="12552" width="17.6640625" style="66" customWidth="1"/>
    <col min="12553" max="12555" width="17.83203125" style="66" customWidth="1"/>
    <col min="12556" max="12556" width="0" style="66" hidden="1" customWidth="1"/>
    <col min="12557" max="12557" width="17.83203125" style="66" customWidth="1"/>
    <col min="12558" max="12558" width="22.83203125" style="66" customWidth="1"/>
    <col min="12559" max="12561" width="17.83203125" style="66" customWidth="1"/>
    <col min="12562" max="12562" width="15.6640625" style="66" customWidth="1"/>
    <col min="12563" max="12563" width="22.33203125" style="66" customWidth="1"/>
    <col min="12564" max="12566" width="17.83203125" style="66" customWidth="1"/>
    <col min="12567" max="12567" width="22.6640625" style="66" customWidth="1"/>
    <col min="12568" max="12568" width="20.33203125" style="66" customWidth="1"/>
    <col min="12569" max="12569" width="8.33203125" style="66" customWidth="1"/>
    <col min="12570" max="12570" width="28.5" style="66" bestFit="1" customWidth="1"/>
    <col min="12571" max="12801" width="11.5" style="66"/>
    <col min="12802" max="12802" width="4.6640625" style="66" customWidth="1"/>
    <col min="12803" max="12803" width="10.1640625" style="66" customWidth="1"/>
    <col min="12804" max="12804" width="51.1640625" style="66" customWidth="1"/>
    <col min="12805" max="12808" width="17.6640625" style="66" customWidth="1"/>
    <col min="12809" max="12811" width="17.83203125" style="66" customWidth="1"/>
    <col min="12812" max="12812" width="0" style="66" hidden="1" customWidth="1"/>
    <col min="12813" max="12813" width="17.83203125" style="66" customWidth="1"/>
    <col min="12814" max="12814" width="22.83203125" style="66" customWidth="1"/>
    <col min="12815" max="12817" width="17.83203125" style="66" customWidth="1"/>
    <col min="12818" max="12818" width="15.6640625" style="66" customWidth="1"/>
    <col min="12819" max="12819" width="22.33203125" style="66" customWidth="1"/>
    <col min="12820" max="12822" width="17.83203125" style="66" customWidth="1"/>
    <col min="12823" max="12823" width="22.6640625" style="66" customWidth="1"/>
    <col min="12824" max="12824" width="20.33203125" style="66" customWidth="1"/>
    <col min="12825" max="12825" width="8.33203125" style="66" customWidth="1"/>
    <col min="12826" max="12826" width="28.5" style="66" bestFit="1" customWidth="1"/>
    <col min="12827" max="13057" width="11.5" style="66"/>
    <col min="13058" max="13058" width="4.6640625" style="66" customWidth="1"/>
    <col min="13059" max="13059" width="10.1640625" style="66" customWidth="1"/>
    <col min="13060" max="13060" width="51.1640625" style="66" customWidth="1"/>
    <col min="13061" max="13064" width="17.6640625" style="66" customWidth="1"/>
    <col min="13065" max="13067" width="17.83203125" style="66" customWidth="1"/>
    <col min="13068" max="13068" width="0" style="66" hidden="1" customWidth="1"/>
    <col min="13069" max="13069" width="17.83203125" style="66" customWidth="1"/>
    <col min="13070" max="13070" width="22.83203125" style="66" customWidth="1"/>
    <col min="13071" max="13073" width="17.83203125" style="66" customWidth="1"/>
    <col min="13074" max="13074" width="15.6640625" style="66" customWidth="1"/>
    <col min="13075" max="13075" width="22.33203125" style="66" customWidth="1"/>
    <col min="13076" max="13078" width="17.83203125" style="66" customWidth="1"/>
    <col min="13079" max="13079" width="22.6640625" style="66" customWidth="1"/>
    <col min="13080" max="13080" width="20.33203125" style="66" customWidth="1"/>
    <col min="13081" max="13081" width="8.33203125" style="66" customWidth="1"/>
    <col min="13082" max="13082" width="28.5" style="66" bestFit="1" customWidth="1"/>
    <col min="13083" max="13313" width="11.5" style="66"/>
    <col min="13314" max="13314" width="4.6640625" style="66" customWidth="1"/>
    <col min="13315" max="13315" width="10.1640625" style="66" customWidth="1"/>
    <col min="13316" max="13316" width="51.1640625" style="66" customWidth="1"/>
    <col min="13317" max="13320" width="17.6640625" style="66" customWidth="1"/>
    <col min="13321" max="13323" width="17.83203125" style="66" customWidth="1"/>
    <col min="13324" max="13324" width="0" style="66" hidden="1" customWidth="1"/>
    <col min="13325" max="13325" width="17.83203125" style="66" customWidth="1"/>
    <col min="13326" max="13326" width="22.83203125" style="66" customWidth="1"/>
    <col min="13327" max="13329" width="17.83203125" style="66" customWidth="1"/>
    <col min="13330" max="13330" width="15.6640625" style="66" customWidth="1"/>
    <col min="13331" max="13331" width="22.33203125" style="66" customWidth="1"/>
    <col min="13332" max="13334" width="17.83203125" style="66" customWidth="1"/>
    <col min="13335" max="13335" width="22.6640625" style="66" customWidth="1"/>
    <col min="13336" max="13336" width="20.33203125" style="66" customWidth="1"/>
    <col min="13337" max="13337" width="8.33203125" style="66" customWidth="1"/>
    <col min="13338" max="13338" width="28.5" style="66" bestFit="1" customWidth="1"/>
    <col min="13339" max="13569" width="11.5" style="66"/>
    <col min="13570" max="13570" width="4.6640625" style="66" customWidth="1"/>
    <col min="13571" max="13571" width="10.1640625" style="66" customWidth="1"/>
    <col min="13572" max="13572" width="51.1640625" style="66" customWidth="1"/>
    <col min="13573" max="13576" width="17.6640625" style="66" customWidth="1"/>
    <col min="13577" max="13579" width="17.83203125" style="66" customWidth="1"/>
    <col min="13580" max="13580" width="0" style="66" hidden="1" customWidth="1"/>
    <col min="13581" max="13581" width="17.83203125" style="66" customWidth="1"/>
    <col min="13582" max="13582" width="22.83203125" style="66" customWidth="1"/>
    <col min="13583" max="13585" width="17.83203125" style="66" customWidth="1"/>
    <col min="13586" max="13586" width="15.6640625" style="66" customWidth="1"/>
    <col min="13587" max="13587" width="22.33203125" style="66" customWidth="1"/>
    <col min="13588" max="13590" width="17.83203125" style="66" customWidth="1"/>
    <col min="13591" max="13591" width="22.6640625" style="66" customWidth="1"/>
    <col min="13592" max="13592" width="20.33203125" style="66" customWidth="1"/>
    <col min="13593" max="13593" width="8.33203125" style="66" customWidth="1"/>
    <col min="13594" max="13594" width="28.5" style="66" bestFit="1" customWidth="1"/>
    <col min="13595" max="13825" width="11.5" style="66"/>
    <col min="13826" max="13826" width="4.6640625" style="66" customWidth="1"/>
    <col min="13827" max="13827" width="10.1640625" style="66" customWidth="1"/>
    <col min="13828" max="13828" width="51.1640625" style="66" customWidth="1"/>
    <col min="13829" max="13832" width="17.6640625" style="66" customWidth="1"/>
    <col min="13833" max="13835" width="17.83203125" style="66" customWidth="1"/>
    <col min="13836" max="13836" width="0" style="66" hidden="1" customWidth="1"/>
    <col min="13837" max="13837" width="17.83203125" style="66" customWidth="1"/>
    <col min="13838" max="13838" width="22.83203125" style="66" customWidth="1"/>
    <col min="13839" max="13841" width="17.83203125" style="66" customWidth="1"/>
    <col min="13842" max="13842" width="15.6640625" style="66" customWidth="1"/>
    <col min="13843" max="13843" width="22.33203125" style="66" customWidth="1"/>
    <col min="13844" max="13846" width="17.83203125" style="66" customWidth="1"/>
    <col min="13847" max="13847" width="22.6640625" style="66" customWidth="1"/>
    <col min="13848" max="13848" width="20.33203125" style="66" customWidth="1"/>
    <col min="13849" max="13849" width="8.33203125" style="66" customWidth="1"/>
    <col min="13850" max="13850" width="28.5" style="66" bestFit="1" customWidth="1"/>
    <col min="13851" max="14081" width="11.5" style="66"/>
    <col min="14082" max="14082" width="4.6640625" style="66" customWidth="1"/>
    <col min="14083" max="14083" width="10.1640625" style="66" customWidth="1"/>
    <col min="14084" max="14084" width="51.1640625" style="66" customWidth="1"/>
    <col min="14085" max="14088" width="17.6640625" style="66" customWidth="1"/>
    <col min="14089" max="14091" width="17.83203125" style="66" customWidth="1"/>
    <col min="14092" max="14092" width="0" style="66" hidden="1" customWidth="1"/>
    <col min="14093" max="14093" width="17.83203125" style="66" customWidth="1"/>
    <col min="14094" max="14094" width="22.83203125" style="66" customWidth="1"/>
    <col min="14095" max="14097" width="17.83203125" style="66" customWidth="1"/>
    <col min="14098" max="14098" width="15.6640625" style="66" customWidth="1"/>
    <col min="14099" max="14099" width="22.33203125" style="66" customWidth="1"/>
    <col min="14100" max="14102" width="17.83203125" style="66" customWidth="1"/>
    <col min="14103" max="14103" width="22.6640625" style="66" customWidth="1"/>
    <col min="14104" max="14104" width="20.33203125" style="66" customWidth="1"/>
    <col min="14105" max="14105" width="8.33203125" style="66" customWidth="1"/>
    <col min="14106" max="14106" width="28.5" style="66" bestFit="1" customWidth="1"/>
    <col min="14107" max="14337" width="11.5" style="66"/>
    <col min="14338" max="14338" width="4.6640625" style="66" customWidth="1"/>
    <col min="14339" max="14339" width="10.1640625" style="66" customWidth="1"/>
    <col min="14340" max="14340" width="51.1640625" style="66" customWidth="1"/>
    <col min="14341" max="14344" width="17.6640625" style="66" customWidth="1"/>
    <col min="14345" max="14347" width="17.83203125" style="66" customWidth="1"/>
    <col min="14348" max="14348" width="0" style="66" hidden="1" customWidth="1"/>
    <col min="14349" max="14349" width="17.83203125" style="66" customWidth="1"/>
    <col min="14350" max="14350" width="22.83203125" style="66" customWidth="1"/>
    <col min="14351" max="14353" width="17.83203125" style="66" customWidth="1"/>
    <col min="14354" max="14354" width="15.6640625" style="66" customWidth="1"/>
    <col min="14355" max="14355" width="22.33203125" style="66" customWidth="1"/>
    <col min="14356" max="14358" width="17.83203125" style="66" customWidth="1"/>
    <col min="14359" max="14359" width="22.6640625" style="66" customWidth="1"/>
    <col min="14360" max="14360" width="20.33203125" style="66" customWidth="1"/>
    <col min="14361" max="14361" width="8.33203125" style="66" customWidth="1"/>
    <col min="14362" max="14362" width="28.5" style="66" bestFit="1" customWidth="1"/>
    <col min="14363" max="14593" width="11.5" style="66"/>
    <col min="14594" max="14594" width="4.6640625" style="66" customWidth="1"/>
    <col min="14595" max="14595" width="10.1640625" style="66" customWidth="1"/>
    <col min="14596" max="14596" width="51.1640625" style="66" customWidth="1"/>
    <col min="14597" max="14600" width="17.6640625" style="66" customWidth="1"/>
    <col min="14601" max="14603" width="17.83203125" style="66" customWidth="1"/>
    <col min="14604" max="14604" width="0" style="66" hidden="1" customWidth="1"/>
    <col min="14605" max="14605" width="17.83203125" style="66" customWidth="1"/>
    <col min="14606" max="14606" width="22.83203125" style="66" customWidth="1"/>
    <col min="14607" max="14609" width="17.83203125" style="66" customWidth="1"/>
    <col min="14610" max="14610" width="15.6640625" style="66" customWidth="1"/>
    <col min="14611" max="14611" width="22.33203125" style="66" customWidth="1"/>
    <col min="14612" max="14614" width="17.83203125" style="66" customWidth="1"/>
    <col min="14615" max="14615" width="22.6640625" style="66" customWidth="1"/>
    <col min="14616" max="14616" width="20.33203125" style="66" customWidth="1"/>
    <col min="14617" max="14617" width="8.33203125" style="66" customWidth="1"/>
    <col min="14618" max="14618" width="28.5" style="66" bestFit="1" customWidth="1"/>
    <col min="14619" max="14849" width="11.5" style="66"/>
    <col min="14850" max="14850" width="4.6640625" style="66" customWidth="1"/>
    <col min="14851" max="14851" width="10.1640625" style="66" customWidth="1"/>
    <col min="14852" max="14852" width="51.1640625" style="66" customWidth="1"/>
    <col min="14853" max="14856" width="17.6640625" style="66" customWidth="1"/>
    <col min="14857" max="14859" width="17.83203125" style="66" customWidth="1"/>
    <col min="14860" max="14860" width="0" style="66" hidden="1" customWidth="1"/>
    <col min="14861" max="14861" width="17.83203125" style="66" customWidth="1"/>
    <col min="14862" max="14862" width="22.83203125" style="66" customWidth="1"/>
    <col min="14863" max="14865" width="17.83203125" style="66" customWidth="1"/>
    <col min="14866" max="14866" width="15.6640625" style="66" customWidth="1"/>
    <col min="14867" max="14867" width="22.33203125" style="66" customWidth="1"/>
    <col min="14868" max="14870" width="17.83203125" style="66" customWidth="1"/>
    <col min="14871" max="14871" width="22.6640625" style="66" customWidth="1"/>
    <col min="14872" max="14872" width="20.33203125" style="66" customWidth="1"/>
    <col min="14873" max="14873" width="8.33203125" style="66" customWidth="1"/>
    <col min="14874" max="14874" width="28.5" style="66" bestFit="1" customWidth="1"/>
    <col min="14875" max="15105" width="11.5" style="66"/>
    <col min="15106" max="15106" width="4.6640625" style="66" customWidth="1"/>
    <col min="15107" max="15107" width="10.1640625" style="66" customWidth="1"/>
    <col min="15108" max="15108" width="51.1640625" style="66" customWidth="1"/>
    <col min="15109" max="15112" width="17.6640625" style="66" customWidth="1"/>
    <col min="15113" max="15115" width="17.83203125" style="66" customWidth="1"/>
    <col min="15116" max="15116" width="0" style="66" hidden="1" customWidth="1"/>
    <col min="15117" max="15117" width="17.83203125" style="66" customWidth="1"/>
    <col min="15118" max="15118" width="22.83203125" style="66" customWidth="1"/>
    <col min="15119" max="15121" width="17.83203125" style="66" customWidth="1"/>
    <col min="15122" max="15122" width="15.6640625" style="66" customWidth="1"/>
    <col min="15123" max="15123" width="22.33203125" style="66" customWidth="1"/>
    <col min="15124" max="15126" width="17.83203125" style="66" customWidth="1"/>
    <col min="15127" max="15127" width="22.6640625" style="66" customWidth="1"/>
    <col min="15128" max="15128" width="20.33203125" style="66" customWidth="1"/>
    <col min="15129" max="15129" width="8.33203125" style="66" customWidth="1"/>
    <col min="15130" max="15130" width="28.5" style="66" bestFit="1" customWidth="1"/>
    <col min="15131" max="15361" width="11.5" style="66"/>
    <col min="15362" max="15362" width="4.6640625" style="66" customWidth="1"/>
    <col min="15363" max="15363" width="10.1640625" style="66" customWidth="1"/>
    <col min="15364" max="15364" width="51.1640625" style="66" customWidth="1"/>
    <col min="15365" max="15368" width="17.6640625" style="66" customWidth="1"/>
    <col min="15369" max="15371" width="17.83203125" style="66" customWidth="1"/>
    <col min="15372" max="15372" width="0" style="66" hidden="1" customWidth="1"/>
    <col min="15373" max="15373" width="17.83203125" style="66" customWidth="1"/>
    <col min="15374" max="15374" width="22.83203125" style="66" customWidth="1"/>
    <col min="15375" max="15377" width="17.83203125" style="66" customWidth="1"/>
    <col min="15378" max="15378" width="15.6640625" style="66" customWidth="1"/>
    <col min="15379" max="15379" width="22.33203125" style="66" customWidth="1"/>
    <col min="15380" max="15382" width="17.83203125" style="66" customWidth="1"/>
    <col min="15383" max="15383" width="22.6640625" style="66" customWidth="1"/>
    <col min="15384" max="15384" width="20.33203125" style="66" customWidth="1"/>
    <col min="15385" max="15385" width="8.33203125" style="66" customWidth="1"/>
    <col min="15386" max="15386" width="28.5" style="66" bestFit="1" customWidth="1"/>
    <col min="15387" max="15617" width="11.5" style="66"/>
    <col min="15618" max="15618" width="4.6640625" style="66" customWidth="1"/>
    <col min="15619" max="15619" width="10.1640625" style="66" customWidth="1"/>
    <col min="15620" max="15620" width="51.1640625" style="66" customWidth="1"/>
    <col min="15621" max="15624" width="17.6640625" style="66" customWidth="1"/>
    <col min="15625" max="15627" width="17.83203125" style="66" customWidth="1"/>
    <col min="15628" max="15628" width="0" style="66" hidden="1" customWidth="1"/>
    <col min="15629" max="15629" width="17.83203125" style="66" customWidth="1"/>
    <col min="15630" max="15630" width="22.83203125" style="66" customWidth="1"/>
    <col min="15631" max="15633" width="17.83203125" style="66" customWidth="1"/>
    <col min="15634" max="15634" width="15.6640625" style="66" customWidth="1"/>
    <col min="15635" max="15635" width="22.33203125" style="66" customWidth="1"/>
    <col min="15636" max="15638" width="17.83203125" style="66" customWidth="1"/>
    <col min="15639" max="15639" width="22.6640625" style="66" customWidth="1"/>
    <col min="15640" max="15640" width="20.33203125" style="66" customWidth="1"/>
    <col min="15641" max="15641" width="8.33203125" style="66" customWidth="1"/>
    <col min="15642" max="15642" width="28.5" style="66" bestFit="1" customWidth="1"/>
    <col min="15643" max="15873" width="11.5" style="66"/>
    <col min="15874" max="15874" width="4.6640625" style="66" customWidth="1"/>
    <col min="15875" max="15875" width="10.1640625" style="66" customWidth="1"/>
    <col min="15876" max="15876" width="51.1640625" style="66" customWidth="1"/>
    <col min="15877" max="15880" width="17.6640625" style="66" customWidth="1"/>
    <col min="15881" max="15883" width="17.83203125" style="66" customWidth="1"/>
    <col min="15884" max="15884" width="0" style="66" hidden="1" customWidth="1"/>
    <col min="15885" max="15885" width="17.83203125" style="66" customWidth="1"/>
    <col min="15886" max="15886" width="22.83203125" style="66" customWidth="1"/>
    <col min="15887" max="15889" width="17.83203125" style="66" customWidth="1"/>
    <col min="15890" max="15890" width="15.6640625" style="66" customWidth="1"/>
    <col min="15891" max="15891" width="22.33203125" style="66" customWidth="1"/>
    <col min="15892" max="15894" width="17.83203125" style="66" customWidth="1"/>
    <col min="15895" max="15895" width="22.6640625" style="66" customWidth="1"/>
    <col min="15896" max="15896" width="20.33203125" style="66" customWidth="1"/>
    <col min="15897" max="15897" width="8.33203125" style="66" customWidth="1"/>
    <col min="15898" max="15898" width="28.5" style="66" bestFit="1" customWidth="1"/>
    <col min="15899" max="16129" width="11.5" style="66"/>
    <col min="16130" max="16130" width="4.6640625" style="66" customWidth="1"/>
    <col min="16131" max="16131" width="10.1640625" style="66" customWidth="1"/>
    <col min="16132" max="16132" width="51.1640625" style="66" customWidth="1"/>
    <col min="16133" max="16136" width="17.6640625" style="66" customWidth="1"/>
    <col min="16137" max="16139" width="17.83203125" style="66" customWidth="1"/>
    <col min="16140" max="16140" width="0" style="66" hidden="1" customWidth="1"/>
    <col min="16141" max="16141" width="17.83203125" style="66" customWidth="1"/>
    <col min="16142" max="16142" width="22.83203125" style="66" customWidth="1"/>
    <col min="16143" max="16145" width="17.83203125" style="66" customWidth="1"/>
    <col min="16146" max="16146" width="15.6640625" style="66" customWidth="1"/>
    <col min="16147" max="16147" width="22.33203125" style="66" customWidth="1"/>
    <col min="16148" max="16150" width="17.83203125" style="66" customWidth="1"/>
    <col min="16151" max="16151" width="22.6640625" style="66" customWidth="1"/>
    <col min="16152" max="16152" width="20.33203125" style="66" customWidth="1"/>
    <col min="16153" max="16153" width="8.33203125" style="66" customWidth="1"/>
    <col min="16154" max="16154" width="28.5" style="66" bestFit="1" customWidth="1"/>
    <col min="16155" max="16384" width="11.5" style="66"/>
  </cols>
  <sheetData>
    <row r="5" spans="1:25" ht="30" customHeight="1">
      <c r="A5" s="73" t="s">
        <v>0</v>
      </c>
      <c r="B5" s="73"/>
      <c r="C5" s="73"/>
      <c r="D5" s="73"/>
      <c r="E5" s="73"/>
      <c r="F5" s="74"/>
      <c r="G5" s="76"/>
      <c r="H5" s="74"/>
      <c r="I5" s="75"/>
      <c r="J5" s="77"/>
      <c r="K5" s="77"/>
      <c r="L5" s="73"/>
      <c r="M5" s="73"/>
      <c r="N5" s="78"/>
      <c r="O5" s="79"/>
      <c r="P5" s="78"/>
      <c r="Q5" s="78"/>
      <c r="R5" s="78"/>
      <c r="S5" s="78"/>
      <c r="T5" s="78"/>
      <c r="U5" s="112"/>
      <c r="V5" s="112"/>
      <c r="W5" s="112"/>
      <c r="X5" s="66"/>
    </row>
    <row r="6" spans="1:25" ht="30" customHeight="1">
      <c r="A6" s="73" t="s">
        <v>1</v>
      </c>
      <c r="B6" s="73"/>
      <c r="C6" s="73"/>
      <c r="D6" s="73"/>
      <c r="E6" s="73"/>
      <c r="F6" s="77"/>
      <c r="G6" s="119" t="s">
        <v>79</v>
      </c>
      <c r="H6" s="77"/>
      <c r="J6" s="77"/>
      <c r="K6" s="77"/>
      <c r="L6" s="73"/>
      <c r="M6" s="73"/>
      <c r="X6" s="66"/>
    </row>
    <row r="7" spans="1:25" s="80" customFormat="1" ht="30" customHeight="1">
      <c r="A7" s="73" t="s">
        <v>2</v>
      </c>
      <c r="B7" s="73"/>
      <c r="C7" s="73"/>
      <c r="D7" s="73"/>
      <c r="E7" s="73"/>
      <c r="F7" s="74"/>
      <c r="G7" s="76"/>
      <c r="H7" s="74"/>
      <c r="I7" s="75"/>
      <c r="J7" s="77"/>
      <c r="K7" s="77"/>
      <c r="L7" s="73"/>
      <c r="M7" s="73"/>
      <c r="N7" s="78"/>
      <c r="O7" s="79"/>
      <c r="P7" s="78"/>
      <c r="Q7" s="78"/>
      <c r="R7" s="78"/>
      <c r="S7" s="78"/>
      <c r="T7" s="78"/>
      <c r="U7" s="112"/>
      <c r="V7" s="112"/>
      <c r="W7" s="112"/>
      <c r="X7" s="66"/>
    </row>
    <row r="8" spans="1:25" ht="21" customHeight="1">
      <c r="X8" s="81"/>
    </row>
    <row r="9" spans="1:25" s="82" customFormat="1" ht="62" customHeight="1">
      <c r="A9" s="300" t="s">
        <v>3</v>
      </c>
      <c r="B9" s="300" t="s">
        <v>4</v>
      </c>
      <c r="C9" s="300" t="s">
        <v>5</v>
      </c>
      <c r="D9" s="300" t="s">
        <v>6</v>
      </c>
      <c r="E9" s="300" t="s">
        <v>35</v>
      </c>
      <c r="F9" s="298" t="s">
        <v>7</v>
      </c>
      <c r="G9" s="302" t="s">
        <v>38</v>
      </c>
      <c r="H9" s="298" t="s">
        <v>8</v>
      </c>
      <c r="I9" s="298" t="s">
        <v>9</v>
      </c>
      <c r="J9" s="298" t="s">
        <v>11</v>
      </c>
      <c r="K9" s="298" t="s">
        <v>39</v>
      </c>
      <c r="L9" s="298" t="s">
        <v>45</v>
      </c>
      <c r="M9" s="298" t="s">
        <v>37</v>
      </c>
      <c r="N9" s="308" t="s">
        <v>47</v>
      </c>
      <c r="O9" s="310" t="s">
        <v>29</v>
      </c>
      <c r="P9" s="311"/>
      <c r="Q9" s="311"/>
      <c r="R9" s="312"/>
      <c r="S9" s="308" t="s">
        <v>33</v>
      </c>
      <c r="T9" s="308" t="s">
        <v>34</v>
      </c>
      <c r="U9" s="304" t="s">
        <v>41</v>
      </c>
      <c r="V9" s="304" t="s">
        <v>40</v>
      </c>
      <c r="W9" s="304" t="s">
        <v>12</v>
      </c>
      <c r="X9" s="306" t="s">
        <v>42</v>
      </c>
    </row>
    <row r="10" spans="1:25" s="82" customFormat="1" ht="37" customHeight="1">
      <c r="A10" s="301"/>
      <c r="B10" s="301"/>
      <c r="C10" s="301"/>
      <c r="D10" s="301"/>
      <c r="E10" s="301"/>
      <c r="F10" s="299"/>
      <c r="G10" s="303"/>
      <c r="H10" s="299"/>
      <c r="I10" s="299"/>
      <c r="J10" s="299"/>
      <c r="K10" s="299"/>
      <c r="L10" s="299"/>
      <c r="M10" s="299"/>
      <c r="N10" s="309"/>
      <c r="O10" s="83" t="s">
        <v>30</v>
      </c>
      <c r="P10" s="84" t="s">
        <v>31</v>
      </c>
      <c r="Q10" s="84" t="s">
        <v>32</v>
      </c>
      <c r="R10" s="84" t="s">
        <v>36</v>
      </c>
      <c r="S10" s="309"/>
      <c r="T10" s="309"/>
      <c r="U10" s="305"/>
      <c r="V10" s="305"/>
      <c r="W10" s="305"/>
      <c r="X10" s="307"/>
    </row>
    <row r="11" spans="1:25" s="94" customFormat="1" ht="30" customHeight="1">
      <c r="A11" s="85">
        <v>1</v>
      </c>
      <c r="B11" s="86" t="s">
        <v>50</v>
      </c>
      <c r="C11" s="127" t="s">
        <v>43</v>
      </c>
      <c r="D11" s="127" t="s">
        <v>51</v>
      </c>
      <c r="E11" s="127" t="s">
        <v>61</v>
      </c>
      <c r="F11" s="117" t="s">
        <v>49</v>
      </c>
      <c r="G11" s="88">
        <v>46204</v>
      </c>
      <c r="H11" s="87" t="s">
        <v>84</v>
      </c>
      <c r="I11" s="88" t="s">
        <v>85</v>
      </c>
      <c r="J11" s="89" t="s">
        <v>2458</v>
      </c>
      <c r="K11" s="89" t="s">
        <v>86</v>
      </c>
      <c r="L11" s="89" t="s">
        <v>88</v>
      </c>
      <c r="M11" s="118" t="s">
        <v>89</v>
      </c>
      <c r="N11" s="90">
        <v>40000</v>
      </c>
      <c r="O11" s="91">
        <v>46197</v>
      </c>
      <c r="P11" s="90" t="s">
        <v>73</v>
      </c>
      <c r="Q11" s="90">
        <v>80</v>
      </c>
      <c r="R11" s="90">
        <v>25110</v>
      </c>
      <c r="S11" s="90">
        <v>5400</v>
      </c>
      <c r="T11" s="90">
        <f t="shared" ref="T11:T74" si="0">+R11-S11</f>
        <v>19710</v>
      </c>
      <c r="U11" s="92">
        <f t="shared" ref="U11:U74" si="1">+T11*0.909090909090909</f>
        <v>17918.181818181816</v>
      </c>
      <c r="V11" s="92">
        <f t="shared" ref="V11:V74" si="2">+N11*T11*0.909090909090909</f>
        <v>716727272.72727263</v>
      </c>
      <c r="W11" s="92">
        <f t="shared" ref="W11:W74" si="3">+V11*10%</f>
        <v>71672727.272727266</v>
      </c>
      <c r="Y11" s="115"/>
    </row>
    <row r="12" spans="1:25" s="94" customFormat="1" ht="30" customHeight="1">
      <c r="A12" s="85">
        <v>2</v>
      </c>
      <c r="B12" s="86" t="s">
        <v>50</v>
      </c>
      <c r="C12" s="127" t="s">
        <v>43</v>
      </c>
      <c r="D12" s="127" t="s">
        <v>51</v>
      </c>
      <c r="E12" s="127" t="s">
        <v>61</v>
      </c>
      <c r="F12" s="117" t="s">
        <v>49</v>
      </c>
      <c r="G12" s="88">
        <v>46204</v>
      </c>
      <c r="H12" s="87" t="s">
        <v>90</v>
      </c>
      <c r="I12" s="88" t="s">
        <v>91</v>
      </c>
      <c r="J12" s="89" t="s">
        <v>2459</v>
      </c>
      <c r="K12" s="89" t="s">
        <v>92</v>
      </c>
      <c r="L12" s="89" t="s">
        <v>88</v>
      </c>
      <c r="M12" s="118" t="s">
        <v>93</v>
      </c>
      <c r="N12" s="90">
        <v>40000</v>
      </c>
      <c r="O12" s="91">
        <v>46197</v>
      </c>
      <c r="P12" s="90" t="s">
        <v>73</v>
      </c>
      <c r="Q12" s="90">
        <v>80</v>
      </c>
      <c r="R12" s="90">
        <v>24990</v>
      </c>
      <c r="S12" s="90">
        <v>5400</v>
      </c>
      <c r="T12" s="90">
        <f t="shared" si="0"/>
        <v>19590</v>
      </c>
      <c r="U12" s="92">
        <f t="shared" si="1"/>
        <v>17809.090909090908</v>
      </c>
      <c r="V12" s="92">
        <f t="shared" si="2"/>
        <v>712363636.36363626</v>
      </c>
      <c r="W12" s="92">
        <f t="shared" si="3"/>
        <v>71236363.636363626</v>
      </c>
      <c r="Y12" s="115"/>
    </row>
    <row r="13" spans="1:25" s="94" customFormat="1" ht="30" customHeight="1">
      <c r="A13" s="85">
        <v>3</v>
      </c>
      <c r="B13" s="86" t="s">
        <v>50</v>
      </c>
      <c r="C13" s="127" t="s">
        <v>43</v>
      </c>
      <c r="D13" s="127" t="s">
        <v>51</v>
      </c>
      <c r="E13" s="127" t="s">
        <v>61</v>
      </c>
      <c r="F13" s="117" t="s">
        <v>49</v>
      </c>
      <c r="G13" s="88">
        <v>46204</v>
      </c>
      <c r="H13" s="87" t="s">
        <v>94</v>
      </c>
      <c r="I13" s="88" t="s">
        <v>95</v>
      </c>
      <c r="J13" s="89" t="s">
        <v>2460</v>
      </c>
      <c r="K13" s="89" t="s">
        <v>96</v>
      </c>
      <c r="L13" s="89" t="s">
        <v>88</v>
      </c>
      <c r="M13" s="118" t="s">
        <v>97</v>
      </c>
      <c r="N13" s="90">
        <v>20000</v>
      </c>
      <c r="O13" s="91">
        <v>46197</v>
      </c>
      <c r="P13" s="90" t="s">
        <v>73</v>
      </c>
      <c r="Q13" s="90">
        <v>80</v>
      </c>
      <c r="R13" s="90">
        <v>24990</v>
      </c>
      <c r="S13" s="90">
        <v>5200</v>
      </c>
      <c r="T13" s="90">
        <f t="shared" si="0"/>
        <v>19790</v>
      </c>
      <c r="U13" s="92">
        <f t="shared" si="1"/>
        <v>17990.909090909088</v>
      </c>
      <c r="V13" s="92">
        <f t="shared" si="2"/>
        <v>359818181.81818175</v>
      </c>
      <c r="W13" s="92">
        <f t="shared" si="3"/>
        <v>35981818.18181818</v>
      </c>
      <c r="Y13" s="115"/>
    </row>
    <row r="14" spans="1:25" s="94" customFormat="1" ht="30" customHeight="1">
      <c r="A14" s="85">
        <v>4</v>
      </c>
      <c r="B14" s="86" t="s">
        <v>50</v>
      </c>
      <c r="C14" s="127" t="s">
        <v>43</v>
      </c>
      <c r="D14" s="127" t="s">
        <v>51</v>
      </c>
      <c r="E14" s="127" t="s">
        <v>53</v>
      </c>
      <c r="F14" s="117" t="s">
        <v>49</v>
      </c>
      <c r="G14" s="88">
        <v>46204</v>
      </c>
      <c r="H14" s="87" t="s">
        <v>98</v>
      </c>
      <c r="I14" s="88" t="s">
        <v>99</v>
      </c>
      <c r="J14" s="89" t="s">
        <v>2271</v>
      </c>
      <c r="K14" s="89" t="s">
        <v>72</v>
      </c>
      <c r="L14" s="89" t="s">
        <v>87</v>
      </c>
      <c r="M14" s="118" t="s">
        <v>100</v>
      </c>
      <c r="N14" s="90">
        <v>3000</v>
      </c>
      <c r="O14" s="91">
        <v>46197</v>
      </c>
      <c r="P14" s="90" t="s">
        <v>73</v>
      </c>
      <c r="Q14" s="90">
        <v>80</v>
      </c>
      <c r="R14" s="90">
        <v>24590</v>
      </c>
      <c r="S14" s="130">
        <v>5400</v>
      </c>
      <c r="T14" s="90">
        <f t="shared" si="0"/>
        <v>19190</v>
      </c>
      <c r="U14" s="92">
        <f t="shared" si="1"/>
        <v>17445.454545454544</v>
      </c>
      <c r="V14" s="92">
        <f t="shared" si="2"/>
        <v>52336363.636363626</v>
      </c>
      <c r="W14" s="92">
        <f t="shared" si="3"/>
        <v>5233636.3636363633</v>
      </c>
      <c r="Y14" s="115"/>
    </row>
    <row r="15" spans="1:25" s="94" customFormat="1" ht="30" customHeight="1">
      <c r="A15" s="85">
        <v>5</v>
      </c>
      <c r="B15" s="86" t="s">
        <v>50</v>
      </c>
      <c r="C15" s="127" t="s">
        <v>43</v>
      </c>
      <c r="D15" s="127" t="s">
        <v>51</v>
      </c>
      <c r="E15" s="127" t="s">
        <v>52</v>
      </c>
      <c r="F15" s="117" t="s">
        <v>49</v>
      </c>
      <c r="G15" s="88">
        <v>46204</v>
      </c>
      <c r="H15" s="87" t="s">
        <v>101</v>
      </c>
      <c r="I15" s="88" t="s">
        <v>102</v>
      </c>
      <c r="J15" s="89" t="s">
        <v>112</v>
      </c>
      <c r="K15" s="89" t="s">
        <v>105</v>
      </c>
      <c r="L15" s="89" t="s">
        <v>87</v>
      </c>
      <c r="M15" s="118" t="s">
        <v>106</v>
      </c>
      <c r="N15" s="90">
        <v>12000</v>
      </c>
      <c r="O15" s="91">
        <v>46197</v>
      </c>
      <c r="P15" s="90" t="s">
        <v>73</v>
      </c>
      <c r="Q15" s="90">
        <v>80</v>
      </c>
      <c r="R15" s="90">
        <v>24560</v>
      </c>
      <c r="S15" s="130">
        <v>5500</v>
      </c>
      <c r="T15" s="90">
        <f t="shared" si="0"/>
        <v>19060</v>
      </c>
      <c r="U15" s="92">
        <f t="shared" si="1"/>
        <v>17327.272727272724</v>
      </c>
      <c r="V15" s="92">
        <f t="shared" si="2"/>
        <v>207927272.72727269</v>
      </c>
      <c r="W15" s="92">
        <f t="shared" si="3"/>
        <v>20792727.27272727</v>
      </c>
      <c r="Y15" s="115"/>
    </row>
    <row r="16" spans="1:25" s="94" customFormat="1" ht="30" customHeight="1">
      <c r="A16" s="85">
        <v>6</v>
      </c>
      <c r="B16" s="86" t="s">
        <v>50</v>
      </c>
      <c r="C16" s="127" t="s">
        <v>43</v>
      </c>
      <c r="D16" s="127" t="s">
        <v>51</v>
      </c>
      <c r="E16" s="127" t="s">
        <v>52</v>
      </c>
      <c r="F16" s="117" t="s">
        <v>49</v>
      </c>
      <c r="G16" s="88">
        <v>46204</v>
      </c>
      <c r="H16" s="87" t="s">
        <v>111</v>
      </c>
      <c r="I16" s="88" t="s">
        <v>103</v>
      </c>
      <c r="J16" s="89" t="s">
        <v>113</v>
      </c>
      <c r="K16" s="89" t="s">
        <v>114</v>
      </c>
      <c r="L16" s="89" t="s">
        <v>87</v>
      </c>
      <c r="M16" s="118" t="s">
        <v>115</v>
      </c>
      <c r="N16" s="90">
        <v>60000</v>
      </c>
      <c r="O16" s="91">
        <v>46197</v>
      </c>
      <c r="P16" s="90" t="s">
        <v>73</v>
      </c>
      <c r="Q16" s="90">
        <v>80</v>
      </c>
      <c r="R16" s="90">
        <v>24560</v>
      </c>
      <c r="S16" s="90">
        <v>2600</v>
      </c>
      <c r="T16" s="90">
        <f t="shared" si="0"/>
        <v>21960</v>
      </c>
      <c r="U16" s="92">
        <f t="shared" si="1"/>
        <v>19963.63636363636</v>
      </c>
      <c r="V16" s="92">
        <f t="shared" si="2"/>
        <v>1197818181.8181815</v>
      </c>
      <c r="W16" s="92">
        <f t="shared" si="3"/>
        <v>119781818.18181816</v>
      </c>
      <c r="Y16" s="115"/>
    </row>
    <row r="17" spans="1:25" s="94" customFormat="1" ht="30" customHeight="1">
      <c r="A17" s="85">
        <v>7</v>
      </c>
      <c r="B17" s="86" t="s">
        <v>50</v>
      </c>
      <c r="C17" s="127" t="s">
        <v>43</v>
      </c>
      <c r="D17" s="127" t="s">
        <v>51</v>
      </c>
      <c r="E17" s="127" t="s">
        <v>52</v>
      </c>
      <c r="F17" s="117" t="s">
        <v>49</v>
      </c>
      <c r="G17" s="88">
        <v>46204</v>
      </c>
      <c r="H17" s="87" t="s">
        <v>117</v>
      </c>
      <c r="I17" s="88" t="s">
        <v>104</v>
      </c>
      <c r="J17" s="89" t="s">
        <v>118</v>
      </c>
      <c r="K17" s="89" t="s">
        <v>119</v>
      </c>
      <c r="L17" s="89" t="s">
        <v>87</v>
      </c>
      <c r="M17" s="118" t="s">
        <v>120</v>
      </c>
      <c r="N17" s="90">
        <v>4000</v>
      </c>
      <c r="O17" s="91">
        <v>46197</v>
      </c>
      <c r="P17" s="90" t="s">
        <v>73</v>
      </c>
      <c r="Q17" s="90">
        <v>80</v>
      </c>
      <c r="R17" s="90">
        <v>24560</v>
      </c>
      <c r="S17" s="130">
        <v>5500</v>
      </c>
      <c r="T17" s="90">
        <f t="shared" si="0"/>
        <v>19060</v>
      </c>
      <c r="U17" s="92">
        <f t="shared" si="1"/>
        <v>17327.272727272724</v>
      </c>
      <c r="V17" s="92">
        <f t="shared" si="2"/>
        <v>69309090.909090891</v>
      </c>
      <c r="W17" s="92">
        <f t="shared" si="3"/>
        <v>6930909.0909090899</v>
      </c>
      <c r="Y17" s="115"/>
    </row>
    <row r="18" spans="1:25" s="94" customFormat="1" ht="30" customHeight="1">
      <c r="A18" s="85">
        <v>8</v>
      </c>
      <c r="B18" s="86" t="s">
        <v>50</v>
      </c>
      <c r="C18" s="127" t="s">
        <v>43</v>
      </c>
      <c r="D18" s="127" t="s">
        <v>51</v>
      </c>
      <c r="E18" s="127" t="s">
        <v>52</v>
      </c>
      <c r="F18" s="117" t="s">
        <v>49</v>
      </c>
      <c r="G18" s="88">
        <v>46204</v>
      </c>
      <c r="H18" s="87" t="s">
        <v>121</v>
      </c>
      <c r="I18" s="88" t="s">
        <v>116</v>
      </c>
      <c r="J18" s="89" t="s">
        <v>122</v>
      </c>
      <c r="K18" s="89" t="s">
        <v>123</v>
      </c>
      <c r="L18" s="89" t="s">
        <v>87</v>
      </c>
      <c r="M18" s="118" t="s">
        <v>124</v>
      </c>
      <c r="N18" s="90">
        <v>5000</v>
      </c>
      <c r="O18" s="91">
        <v>46197</v>
      </c>
      <c r="P18" s="90" t="s">
        <v>73</v>
      </c>
      <c r="Q18" s="90">
        <v>80</v>
      </c>
      <c r="R18" s="90">
        <v>24560</v>
      </c>
      <c r="S18" s="130">
        <v>5400</v>
      </c>
      <c r="T18" s="90">
        <f t="shared" si="0"/>
        <v>19160</v>
      </c>
      <c r="U18" s="92">
        <f t="shared" si="1"/>
        <v>17418.181818181816</v>
      </c>
      <c r="V18" s="92">
        <f t="shared" si="2"/>
        <v>87090909.090909079</v>
      </c>
      <c r="W18" s="92">
        <f t="shared" si="3"/>
        <v>8709090.9090909082</v>
      </c>
      <c r="Y18" s="115"/>
    </row>
    <row r="19" spans="1:25" s="94" customFormat="1" ht="30" customHeight="1">
      <c r="A19" s="85">
        <v>9</v>
      </c>
      <c r="B19" s="86" t="s">
        <v>50</v>
      </c>
      <c r="C19" s="127" t="s">
        <v>43</v>
      </c>
      <c r="D19" s="127" t="s">
        <v>51</v>
      </c>
      <c r="E19" s="127" t="s">
        <v>55</v>
      </c>
      <c r="F19" s="117" t="s">
        <v>49</v>
      </c>
      <c r="G19" s="88">
        <v>46204</v>
      </c>
      <c r="H19" s="87" t="s">
        <v>131</v>
      </c>
      <c r="I19" s="88" t="s">
        <v>125</v>
      </c>
      <c r="J19" s="89" t="s">
        <v>2644</v>
      </c>
      <c r="K19" s="89" t="s">
        <v>132</v>
      </c>
      <c r="L19" s="89" t="s">
        <v>88</v>
      </c>
      <c r="M19" s="118" t="s">
        <v>133</v>
      </c>
      <c r="N19" s="90">
        <v>28000</v>
      </c>
      <c r="O19" s="91">
        <v>46197</v>
      </c>
      <c r="P19" s="90" t="s">
        <v>73</v>
      </c>
      <c r="Q19" s="90">
        <v>80</v>
      </c>
      <c r="R19" s="90">
        <v>24590</v>
      </c>
      <c r="S19" s="130">
        <v>5400</v>
      </c>
      <c r="T19" s="90">
        <f t="shared" si="0"/>
        <v>19190</v>
      </c>
      <c r="U19" s="92">
        <f t="shared" si="1"/>
        <v>17445.454545454544</v>
      </c>
      <c r="V19" s="92">
        <f t="shared" si="2"/>
        <v>488472727.27272719</v>
      </c>
      <c r="W19" s="92">
        <f t="shared" si="3"/>
        <v>48847272.727272719</v>
      </c>
      <c r="Y19" s="115"/>
    </row>
    <row r="20" spans="1:25" s="94" customFormat="1" ht="30" customHeight="1">
      <c r="A20" s="85">
        <v>10</v>
      </c>
      <c r="B20" s="86" t="s">
        <v>50</v>
      </c>
      <c r="C20" s="127" t="s">
        <v>43</v>
      </c>
      <c r="D20" s="127" t="s">
        <v>51</v>
      </c>
      <c r="E20" s="127" t="s">
        <v>53</v>
      </c>
      <c r="F20" s="117" t="s">
        <v>49</v>
      </c>
      <c r="G20" s="88">
        <v>46204</v>
      </c>
      <c r="H20" s="87" t="s">
        <v>134</v>
      </c>
      <c r="I20" s="88" t="s">
        <v>126</v>
      </c>
      <c r="J20" s="89" t="s">
        <v>2272</v>
      </c>
      <c r="K20" s="89" t="s">
        <v>135</v>
      </c>
      <c r="L20" s="89" t="s">
        <v>88</v>
      </c>
      <c r="M20" s="118" t="s">
        <v>136</v>
      </c>
      <c r="N20" s="90">
        <v>220000</v>
      </c>
      <c r="O20" s="91">
        <v>46197</v>
      </c>
      <c r="P20" s="90" t="s">
        <v>73</v>
      </c>
      <c r="Q20" s="90">
        <v>80</v>
      </c>
      <c r="R20" s="90">
        <v>24590</v>
      </c>
      <c r="S20" s="90">
        <v>5600</v>
      </c>
      <c r="T20" s="90">
        <f t="shared" si="0"/>
        <v>18990</v>
      </c>
      <c r="U20" s="92">
        <f t="shared" si="1"/>
        <v>17263.63636363636</v>
      </c>
      <c r="V20" s="92">
        <f t="shared" si="2"/>
        <v>3797999999.9999995</v>
      </c>
      <c r="W20" s="92">
        <f t="shared" si="3"/>
        <v>379800000</v>
      </c>
      <c r="Y20" s="115"/>
    </row>
    <row r="21" spans="1:25" s="94" customFormat="1" ht="30" customHeight="1">
      <c r="A21" s="85">
        <v>11</v>
      </c>
      <c r="B21" s="86" t="s">
        <v>50</v>
      </c>
      <c r="C21" s="127" t="s">
        <v>43</v>
      </c>
      <c r="D21" s="127" t="s">
        <v>51</v>
      </c>
      <c r="E21" s="127" t="s">
        <v>55</v>
      </c>
      <c r="F21" s="117" t="s">
        <v>49</v>
      </c>
      <c r="G21" s="88">
        <v>46204</v>
      </c>
      <c r="H21" s="87" t="s">
        <v>137</v>
      </c>
      <c r="I21" s="88" t="s">
        <v>127</v>
      </c>
      <c r="J21" s="89" t="s">
        <v>2545</v>
      </c>
      <c r="K21" s="89" t="s">
        <v>138</v>
      </c>
      <c r="L21" s="89" t="s">
        <v>88</v>
      </c>
      <c r="M21" s="118" t="s">
        <v>139</v>
      </c>
      <c r="N21" s="90">
        <v>20000</v>
      </c>
      <c r="O21" s="91">
        <v>46197</v>
      </c>
      <c r="P21" s="90" t="s">
        <v>73</v>
      </c>
      <c r="Q21" s="90">
        <v>80</v>
      </c>
      <c r="R21" s="90">
        <v>24620</v>
      </c>
      <c r="S21" s="130">
        <v>5500</v>
      </c>
      <c r="T21" s="90">
        <f t="shared" si="0"/>
        <v>19120</v>
      </c>
      <c r="U21" s="92">
        <f t="shared" si="1"/>
        <v>17381.81818181818</v>
      </c>
      <c r="V21" s="92">
        <f t="shared" si="2"/>
        <v>347636363.63636357</v>
      </c>
      <c r="W21" s="92">
        <f t="shared" si="3"/>
        <v>34763636.36363636</v>
      </c>
      <c r="Y21" s="115"/>
    </row>
    <row r="22" spans="1:25" s="94" customFormat="1" ht="30" customHeight="1">
      <c r="A22" s="85">
        <v>12</v>
      </c>
      <c r="B22" s="86" t="s">
        <v>50</v>
      </c>
      <c r="C22" s="127" t="s">
        <v>43</v>
      </c>
      <c r="D22" s="127" t="s">
        <v>51</v>
      </c>
      <c r="E22" s="127" t="s">
        <v>52</v>
      </c>
      <c r="F22" s="117" t="s">
        <v>49</v>
      </c>
      <c r="G22" s="88">
        <v>46204</v>
      </c>
      <c r="H22" s="87" t="s">
        <v>140</v>
      </c>
      <c r="I22" s="88" t="s">
        <v>128</v>
      </c>
      <c r="J22" s="89" t="s">
        <v>141</v>
      </c>
      <c r="K22" s="89" t="s">
        <v>142</v>
      </c>
      <c r="L22" s="89" t="s">
        <v>88</v>
      </c>
      <c r="M22" s="118" t="s">
        <v>143</v>
      </c>
      <c r="N22" s="90">
        <v>16000</v>
      </c>
      <c r="O22" s="91">
        <v>46197</v>
      </c>
      <c r="P22" s="90" t="s">
        <v>73</v>
      </c>
      <c r="Q22" s="90">
        <v>80</v>
      </c>
      <c r="R22" s="90">
        <v>24560</v>
      </c>
      <c r="S22" s="130">
        <v>5500</v>
      </c>
      <c r="T22" s="90">
        <f t="shared" si="0"/>
        <v>19060</v>
      </c>
      <c r="U22" s="92">
        <f t="shared" si="1"/>
        <v>17327.272727272724</v>
      </c>
      <c r="V22" s="92">
        <f t="shared" si="2"/>
        <v>277236363.63636357</v>
      </c>
      <c r="W22" s="92">
        <f t="shared" si="3"/>
        <v>27723636.36363636</v>
      </c>
      <c r="Y22" s="115"/>
    </row>
    <row r="23" spans="1:25" s="94" customFormat="1" ht="30" customHeight="1">
      <c r="A23" s="85">
        <v>13</v>
      </c>
      <c r="B23" s="86" t="s">
        <v>50</v>
      </c>
      <c r="C23" s="127" t="s">
        <v>43</v>
      </c>
      <c r="D23" s="127" t="s">
        <v>51</v>
      </c>
      <c r="E23" s="127" t="s">
        <v>52</v>
      </c>
      <c r="F23" s="117" t="s">
        <v>49</v>
      </c>
      <c r="G23" s="88">
        <v>46204</v>
      </c>
      <c r="H23" s="87" t="s">
        <v>144</v>
      </c>
      <c r="I23" s="88" t="s">
        <v>129</v>
      </c>
      <c r="J23" s="89" t="s">
        <v>145</v>
      </c>
      <c r="K23" s="89" t="s">
        <v>146</v>
      </c>
      <c r="L23" s="89" t="s">
        <v>88</v>
      </c>
      <c r="M23" s="118" t="s">
        <v>147</v>
      </c>
      <c r="N23" s="90">
        <v>3000</v>
      </c>
      <c r="O23" s="91">
        <v>46197</v>
      </c>
      <c r="P23" s="90" t="s">
        <v>73</v>
      </c>
      <c r="Q23" s="90">
        <v>80</v>
      </c>
      <c r="R23" s="90">
        <v>24560</v>
      </c>
      <c r="S23" s="130">
        <v>5500</v>
      </c>
      <c r="T23" s="90">
        <f t="shared" si="0"/>
        <v>19060</v>
      </c>
      <c r="U23" s="92">
        <f t="shared" si="1"/>
        <v>17327.272727272724</v>
      </c>
      <c r="V23" s="92">
        <f t="shared" si="2"/>
        <v>51981818.181818172</v>
      </c>
      <c r="W23" s="92">
        <f t="shared" si="3"/>
        <v>5198181.8181818174</v>
      </c>
      <c r="Y23" s="115"/>
    </row>
    <row r="24" spans="1:25" s="94" customFormat="1" ht="30" customHeight="1">
      <c r="A24" s="85">
        <v>14</v>
      </c>
      <c r="B24" s="86" t="s">
        <v>50</v>
      </c>
      <c r="C24" s="127" t="s">
        <v>43</v>
      </c>
      <c r="D24" s="127" t="s">
        <v>51</v>
      </c>
      <c r="E24" s="127" t="s">
        <v>52</v>
      </c>
      <c r="F24" s="117" t="s">
        <v>49</v>
      </c>
      <c r="G24" s="88">
        <v>46204</v>
      </c>
      <c r="H24" s="87" t="s">
        <v>148</v>
      </c>
      <c r="I24" s="88" t="s">
        <v>130</v>
      </c>
      <c r="J24" s="89" t="s">
        <v>149</v>
      </c>
      <c r="K24" s="89" t="s">
        <v>150</v>
      </c>
      <c r="L24" s="89" t="s">
        <v>88</v>
      </c>
      <c r="M24" s="118" t="s">
        <v>151</v>
      </c>
      <c r="N24" s="90">
        <v>40000</v>
      </c>
      <c r="O24" s="91">
        <v>46197</v>
      </c>
      <c r="P24" s="90" t="s">
        <v>73</v>
      </c>
      <c r="Q24" s="90">
        <v>80</v>
      </c>
      <c r="R24" s="90">
        <v>24560</v>
      </c>
      <c r="S24" s="130">
        <v>5600</v>
      </c>
      <c r="T24" s="90">
        <f t="shared" si="0"/>
        <v>18960</v>
      </c>
      <c r="U24" s="92">
        <f t="shared" si="1"/>
        <v>17236.363636363632</v>
      </c>
      <c r="V24" s="92">
        <f t="shared" si="2"/>
        <v>689454545.45454538</v>
      </c>
      <c r="W24" s="92">
        <f t="shared" si="3"/>
        <v>68945454.545454547</v>
      </c>
      <c r="Y24" s="115"/>
    </row>
    <row r="25" spans="1:25" s="94" customFormat="1" ht="30" customHeight="1">
      <c r="A25" s="85">
        <v>15</v>
      </c>
      <c r="B25" s="86" t="s">
        <v>50</v>
      </c>
      <c r="C25" s="127" t="s">
        <v>43</v>
      </c>
      <c r="D25" s="127" t="s">
        <v>51</v>
      </c>
      <c r="E25" s="127" t="s">
        <v>55</v>
      </c>
      <c r="F25" s="117" t="s">
        <v>49</v>
      </c>
      <c r="G25" s="88">
        <v>46205</v>
      </c>
      <c r="H25" s="87" t="s">
        <v>153</v>
      </c>
      <c r="I25" s="88" t="s">
        <v>152</v>
      </c>
      <c r="J25" s="89" t="s">
        <v>2643</v>
      </c>
      <c r="K25" s="89" t="s">
        <v>154</v>
      </c>
      <c r="L25" s="89" t="s">
        <v>156</v>
      </c>
      <c r="M25" s="118" t="s">
        <v>157</v>
      </c>
      <c r="N25" s="90">
        <v>40000</v>
      </c>
      <c r="O25" s="91">
        <v>46204</v>
      </c>
      <c r="P25" s="90" t="s">
        <v>287</v>
      </c>
      <c r="Q25" s="90">
        <v>80</v>
      </c>
      <c r="R25" s="90">
        <v>24620</v>
      </c>
      <c r="S25" s="130">
        <v>5600</v>
      </c>
      <c r="T25" s="90">
        <f t="shared" si="0"/>
        <v>19020</v>
      </c>
      <c r="U25" s="92">
        <f t="shared" si="1"/>
        <v>17290.909090909088</v>
      </c>
      <c r="V25" s="92">
        <f t="shared" si="2"/>
        <v>691636363.63636351</v>
      </c>
      <c r="W25" s="92">
        <f t="shared" si="3"/>
        <v>69163636.36363636</v>
      </c>
      <c r="Y25" s="115"/>
    </row>
    <row r="26" spans="1:25" s="94" customFormat="1" ht="30" customHeight="1">
      <c r="A26" s="85">
        <v>16</v>
      </c>
      <c r="B26" s="86" t="s">
        <v>50</v>
      </c>
      <c r="C26" s="127" t="s">
        <v>43</v>
      </c>
      <c r="D26" s="127" t="s">
        <v>51</v>
      </c>
      <c r="E26" s="127" t="s">
        <v>55</v>
      </c>
      <c r="F26" s="117" t="s">
        <v>49</v>
      </c>
      <c r="G26" s="88">
        <v>46205</v>
      </c>
      <c r="H26" s="87" t="s">
        <v>166</v>
      </c>
      <c r="I26" s="88" t="s">
        <v>167</v>
      </c>
      <c r="J26" s="89" t="s">
        <v>2642</v>
      </c>
      <c r="K26" s="89" t="s">
        <v>168</v>
      </c>
      <c r="L26" s="89" t="s">
        <v>156</v>
      </c>
      <c r="M26" s="118" t="s">
        <v>169</v>
      </c>
      <c r="N26" s="90">
        <v>20000</v>
      </c>
      <c r="O26" s="91">
        <v>46204</v>
      </c>
      <c r="P26" s="90" t="s">
        <v>287</v>
      </c>
      <c r="Q26" s="90">
        <v>80</v>
      </c>
      <c r="R26" s="90">
        <v>24990</v>
      </c>
      <c r="S26" s="130">
        <v>5600</v>
      </c>
      <c r="T26" s="90">
        <f t="shared" si="0"/>
        <v>19390</v>
      </c>
      <c r="U26" s="92">
        <f t="shared" si="1"/>
        <v>17627.272727272724</v>
      </c>
      <c r="V26" s="92">
        <f t="shared" si="2"/>
        <v>352545454.5454545</v>
      </c>
      <c r="W26" s="92">
        <f t="shared" si="3"/>
        <v>35254545.454545453</v>
      </c>
      <c r="Y26" s="115"/>
    </row>
    <row r="27" spans="1:25" s="94" customFormat="1" ht="30" customHeight="1">
      <c r="A27" s="85">
        <v>17</v>
      </c>
      <c r="B27" s="86" t="s">
        <v>50</v>
      </c>
      <c r="C27" s="127" t="s">
        <v>43</v>
      </c>
      <c r="D27" s="127" t="s">
        <v>51</v>
      </c>
      <c r="E27" s="127" t="s">
        <v>54</v>
      </c>
      <c r="F27" s="117" t="s">
        <v>49</v>
      </c>
      <c r="G27" s="88">
        <v>46205</v>
      </c>
      <c r="H27" s="87" t="s">
        <v>174</v>
      </c>
      <c r="I27" s="88" t="s">
        <v>175</v>
      </c>
      <c r="J27" s="89" t="s">
        <v>2474</v>
      </c>
      <c r="K27" s="89" t="s">
        <v>176</v>
      </c>
      <c r="L27" s="89" t="s">
        <v>155</v>
      </c>
      <c r="M27" s="118" t="s">
        <v>177</v>
      </c>
      <c r="N27" s="90">
        <v>40000</v>
      </c>
      <c r="O27" s="91">
        <v>46204</v>
      </c>
      <c r="P27" s="90" t="s">
        <v>287</v>
      </c>
      <c r="Q27" s="90">
        <v>80</v>
      </c>
      <c r="R27" s="90">
        <v>25330</v>
      </c>
      <c r="S27" s="130">
        <v>5300</v>
      </c>
      <c r="T27" s="90">
        <f t="shared" si="0"/>
        <v>20030</v>
      </c>
      <c r="U27" s="92">
        <f t="shared" si="1"/>
        <v>18209.090909090904</v>
      </c>
      <c r="V27" s="92">
        <f t="shared" si="2"/>
        <v>728363636.36363626</v>
      </c>
      <c r="W27" s="92">
        <f t="shared" si="3"/>
        <v>72836363.636363626</v>
      </c>
      <c r="Y27" s="115"/>
    </row>
    <row r="28" spans="1:25" s="94" customFormat="1" ht="30" customHeight="1">
      <c r="A28" s="85">
        <v>18</v>
      </c>
      <c r="B28" s="86" t="s">
        <v>50</v>
      </c>
      <c r="C28" s="127" t="s">
        <v>43</v>
      </c>
      <c r="D28" s="127" t="s">
        <v>51</v>
      </c>
      <c r="E28" s="127" t="s">
        <v>54</v>
      </c>
      <c r="F28" s="117" t="s">
        <v>49</v>
      </c>
      <c r="G28" s="88">
        <v>46205</v>
      </c>
      <c r="H28" s="87" t="s">
        <v>178</v>
      </c>
      <c r="I28" s="88" t="s">
        <v>179</v>
      </c>
      <c r="J28" s="89" t="s">
        <v>2475</v>
      </c>
      <c r="K28" s="89" t="s">
        <v>184</v>
      </c>
      <c r="L28" s="89" t="s">
        <v>155</v>
      </c>
      <c r="M28" s="118" t="s">
        <v>185</v>
      </c>
      <c r="N28" s="90">
        <v>12000</v>
      </c>
      <c r="O28" s="91">
        <v>46204</v>
      </c>
      <c r="P28" s="90" t="s">
        <v>287</v>
      </c>
      <c r="Q28" s="90">
        <v>80</v>
      </c>
      <c r="R28" s="90">
        <v>25360</v>
      </c>
      <c r="S28" s="130">
        <v>5700</v>
      </c>
      <c r="T28" s="90">
        <f t="shared" si="0"/>
        <v>19660</v>
      </c>
      <c r="U28" s="92">
        <f t="shared" si="1"/>
        <v>17872.727272727268</v>
      </c>
      <c r="V28" s="92">
        <f t="shared" si="2"/>
        <v>214472727.27272725</v>
      </c>
      <c r="W28" s="92">
        <f t="shared" si="3"/>
        <v>21447272.727272727</v>
      </c>
      <c r="Y28" s="115"/>
    </row>
    <row r="29" spans="1:25" s="94" customFormat="1" ht="30" customHeight="1">
      <c r="A29" s="85">
        <v>19</v>
      </c>
      <c r="B29" s="86" t="s">
        <v>50</v>
      </c>
      <c r="C29" s="127" t="s">
        <v>43</v>
      </c>
      <c r="D29" s="127" t="s">
        <v>51</v>
      </c>
      <c r="E29" s="127" t="s">
        <v>55</v>
      </c>
      <c r="F29" s="117" t="s">
        <v>49</v>
      </c>
      <c r="G29" s="88">
        <v>46205</v>
      </c>
      <c r="H29" s="87" t="s">
        <v>186</v>
      </c>
      <c r="I29" s="88" t="s">
        <v>180</v>
      </c>
      <c r="J29" s="89" t="s">
        <v>2641</v>
      </c>
      <c r="K29" s="89" t="s">
        <v>187</v>
      </c>
      <c r="L29" s="89" t="s">
        <v>155</v>
      </c>
      <c r="M29" s="118" t="s">
        <v>188</v>
      </c>
      <c r="N29" s="90">
        <v>40000</v>
      </c>
      <c r="O29" s="91">
        <v>46204</v>
      </c>
      <c r="P29" s="90" t="s">
        <v>287</v>
      </c>
      <c r="Q29" s="90">
        <v>80</v>
      </c>
      <c r="R29" s="90">
        <v>24850</v>
      </c>
      <c r="S29" s="130">
        <v>5700</v>
      </c>
      <c r="T29" s="90">
        <f t="shared" si="0"/>
        <v>19150</v>
      </c>
      <c r="U29" s="92">
        <f t="shared" si="1"/>
        <v>17409.090909090908</v>
      </c>
      <c r="V29" s="92">
        <f t="shared" si="2"/>
        <v>696363636.36363626</v>
      </c>
      <c r="W29" s="92">
        <f t="shared" si="3"/>
        <v>69636363.636363626</v>
      </c>
      <c r="Y29" s="115"/>
    </row>
    <row r="30" spans="1:25" s="94" customFormat="1" ht="30" customHeight="1">
      <c r="A30" s="85">
        <v>20</v>
      </c>
      <c r="B30" s="86" t="s">
        <v>50</v>
      </c>
      <c r="C30" s="127" t="s">
        <v>43</v>
      </c>
      <c r="D30" s="127" t="s">
        <v>51</v>
      </c>
      <c r="E30" s="127" t="s">
        <v>52</v>
      </c>
      <c r="F30" s="117" t="s">
        <v>49</v>
      </c>
      <c r="G30" s="88">
        <v>46205</v>
      </c>
      <c r="H30" s="87" t="s">
        <v>189</v>
      </c>
      <c r="I30" s="88" t="s">
        <v>181</v>
      </c>
      <c r="J30" s="89" t="s">
        <v>190</v>
      </c>
      <c r="K30" s="89" t="s">
        <v>191</v>
      </c>
      <c r="L30" s="89" t="s">
        <v>155</v>
      </c>
      <c r="M30" s="118" t="s">
        <v>192</v>
      </c>
      <c r="N30" s="90">
        <v>20000</v>
      </c>
      <c r="O30" s="91">
        <v>46204</v>
      </c>
      <c r="P30" s="90" t="s">
        <v>287</v>
      </c>
      <c r="Q30" s="90">
        <v>80</v>
      </c>
      <c r="R30" s="90">
        <v>24820</v>
      </c>
      <c r="S30" s="130">
        <v>5700</v>
      </c>
      <c r="T30" s="90">
        <f t="shared" si="0"/>
        <v>19120</v>
      </c>
      <c r="U30" s="92">
        <f t="shared" si="1"/>
        <v>17381.81818181818</v>
      </c>
      <c r="V30" s="92">
        <f t="shared" si="2"/>
        <v>347636363.63636357</v>
      </c>
      <c r="W30" s="92">
        <f t="shared" si="3"/>
        <v>34763636.36363636</v>
      </c>
      <c r="Y30" s="115"/>
    </row>
    <row r="31" spans="1:25" s="94" customFormat="1" ht="30" customHeight="1">
      <c r="A31" s="85">
        <v>21</v>
      </c>
      <c r="B31" s="86" t="s">
        <v>50</v>
      </c>
      <c r="C31" s="127" t="s">
        <v>43</v>
      </c>
      <c r="D31" s="127" t="s">
        <v>51</v>
      </c>
      <c r="E31" s="127" t="s">
        <v>55</v>
      </c>
      <c r="F31" s="117" t="s">
        <v>49</v>
      </c>
      <c r="G31" s="88">
        <v>46205</v>
      </c>
      <c r="H31" s="87" t="s">
        <v>193</v>
      </c>
      <c r="I31" s="88" t="s">
        <v>182</v>
      </c>
      <c r="J31" s="89" t="s">
        <v>2640</v>
      </c>
      <c r="K31" s="89" t="s">
        <v>194</v>
      </c>
      <c r="L31" s="89" t="s">
        <v>155</v>
      </c>
      <c r="M31" s="118" t="s">
        <v>195</v>
      </c>
      <c r="N31" s="90">
        <v>20000</v>
      </c>
      <c r="O31" s="91">
        <v>46204</v>
      </c>
      <c r="P31" s="90" t="s">
        <v>287</v>
      </c>
      <c r="Q31" s="90">
        <v>80</v>
      </c>
      <c r="R31" s="90">
        <v>24880</v>
      </c>
      <c r="S31" s="130">
        <v>5700</v>
      </c>
      <c r="T31" s="90">
        <f t="shared" si="0"/>
        <v>19180</v>
      </c>
      <c r="U31" s="92">
        <f t="shared" si="1"/>
        <v>17436.363636363632</v>
      </c>
      <c r="V31" s="92">
        <f t="shared" si="2"/>
        <v>348727272.72727269</v>
      </c>
      <c r="W31" s="92">
        <f t="shared" si="3"/>
        <v>34872727.272727273</v>
      </c>
      <c r="Y31" s="115"/>
    </row>
    <row r="32" spans="1:25" s="94" customFormat="1" ht="30" customHeight="1">
      <c r="A32" s="85">
        <v>22</v>
      </c>
      <c r="B32" s="86" t="s">
        <v>50</v>
      </c>
      <c r="C32" s="127" t="s">
        <v>43</v>
      </c>
      <c r="D32" s="127" t="s">
        <v>51</v>
      </c>
      <c r="E32" s="127" t="s">
        <v>52</v>
      </c>
      <c r="F32" s="117" t="s">
        <v>49</v>
      </c>
      <c r="G32" s="88">
        <v>46204</v>
      </c>
      <c r="H32" s="87" t="s">
        <v>196</v>
      </c>
      <c r="I32" s="88" t="s">
        <v>183</v>
      </c>
      <c r="J32" s="89" t="s">
        <v>197</v>
      </c>
      <c r="K32" s="89" t="s">
        <v>198</v>
      </c>
      <c r="L32" s="89" t="s">
        <v>88</v>
      </c>
      <c r="M32" s="118" t="s">
        <v>199</v>
      </c>
      <c r="N32" s="90">
        <v>28000</v>
      </c>
      <c r="O32" s="91">
        <v>46197</v>
      </c>
      <c r="P32" s="90" t="s">
        <v>73</v>
      </c>
      <c r="Q32" s="90">
        <v>80</v>
      </c>
      <c r="R32" s="90">
        <v>24560</v>
      </c>
      <c r="S32" s="130">
        <v>5600</v>
      </c>
      <c r="T32" s="90">
        <f t="shared" si="0"/>
        <v>18960</v>
      </c>
      <c r="U32" s="92">
        <f t="shared" si="1"/>
        <v>17236.363636363632</v>
      </c>
      <c r="V32" s="92">
        <f t="shared" si="2"/>
        <v>482618181.81818175</v>
      </c>
      <c r="W32" s="92">
        <f t="shared" si="3"/>
        <v>48261818.18181818</v>
      </c>
      <c r="Y32" s="115"/>
    </row>
    <row r="33" spans="1:25" s="94" customFormat="1" ht="30" customHeight="1">
      <c r="A33" s="85">
        <v>23</v>
      </c>
      <c r="B33" s="86" t="s">
        <v>50</v>
      </c>
      <c r="C33" s="127" t="s">
        <v>43</v>
      </c>
      <c r="D33" s="127" t="s">
        <v>51</v>
      </c>
      <c r="E33" s="127" t="s">
        <v>52</v>
      </c>
      <c r="F33" s="117" t="s">
        <v>49</v>
      </c>
      <c r="G33" s="88">
        <v>46204</v>
      </c>
      <c r="H33" s="87" t="s">
        <v>203</v>
      </c>
      <c r="I33" s="88" t="s">
        <v>200</v>
      </c>
      <c r="J33" s="89" t="s">
        <v>204</v>
      </c>
      <c r="K33" s="89" t="s">
        <v>205</v>
      </c>
      <c r="L33" s="89" t="s">
        <v>88</v>
      </c>
      <c r="M33" s="118" t="s">
        <v>206</v>
      </c>
      <c r="N33" s="90">
        <v>20000</v>
      </c>
      <c r="O33" s="91">
        <v>46197</v>
      </c>
      <c r="P33" s="90" t="s">
        <v>73</v>
      </c>
      <c r="Q33" s="90">
        <v>80</v>
      </c>
      <c r="R33" s="90">
        <v>24560</v>
      </c>
      <c r="S33" s="130">
        <v>5500</v>
      </c>
      <c r="T33" s="90">
        <f t="shared" si="0"/>
        <v>19060</v>
      </c>
      <c r="U33" s="92">
        <f t="shared" si="1"/>
        <v>17327.272727272724</v>
      </c>
      <c r="V33" s="92">
        <f t="shared" si="2"/>
        <v>346545454.5454545</v>
      </c>
      <c r="W33" s="92">
        <f t="shared" si="3"/>
        <v>34654545.454545453</v>
      </c>
      <c r="Y33" s="115"/>
    </row>
    <row r="34" spans="1:25" s="94" customFormat="1" ht="30" customHeight="1">
      <c r="A34" s="85">
        <v>24</v>
      </c>
      <c r="B34" s="86" t="s">
        <v>50</v>
      </c>
      <c r="C34" s="127" t="s">
        <v>43</v>
      </c>
      <c r="D34" s="127" t="s">
        <v>51</v>
      </c>
      <c r="E34" s="127" t="s">
        <v>53</v>
      </c>
      <c r="F34" s="117" t="s">
        <v>49</v>
      </c>
      <c r="G34" s="88">
        <v>46205</v>
      </c>
      <c r="H34" s="87" t="s">
        <v>207</v>
      </c>
      <c r="I34" s="88" t="s">
        <v>201</v>
      </c>
      <c r="J34" s="89" t="s">
        <v>2274</v>
      </c>
      <c r="K34" s="89" t="s">
        <v>208</v>
      </c>
      <c r="L34" s="89" t="s">
        <v>155</v>
      </c>
      <c r="M34" s="118" t="s">
        <v>209</v>
      </c>
      <c r="N34" s="90">
        <v>20000</v>
      </c>
      <c r="O34" s="91">
        <v>46204</v>
      </c>
      <c r="P34" s="90" t="s">
        <v>287</v>
      </c>
      <c r="Q34" s="90">
        <v>80</v>
      </c>
      <c r="R34" s="90">
        <v>24850</v>
      </c>
      <c r="S34" s="130">
        <v>5700</v>
      </c>
      <c r="T34" s="90">
        <f t="shared" si="0"/>
        <v>19150</v>
      </c>
      <c r="U34" s="92">
        <f t="shared" si="1"/>
        <v>17409.090909090908</v>
      </c>
      <c r="V34" s="92">
        <f t="shared" si="2"/>
        <v>348181818.18181813</v>
      </c>
      <c r="W34" s="92">
        <f t="shared" si="3"/>
        <v>34818181.818181813</v>
      </c>
      <c r="Y34" s="115"/>
    </row>
    <row r="35" spans="1:25" s="94" customFormat="1" ht="30" customHeight="1">
      <c r="A35" s="85">
        <v>25</v>
      </c>
      <c r="B35" s="86" t="s">
        <v>50</v>
      </c>
      <c r="C35" s="127" t="s">
        <v>43</v>
      </c>
      <c r="D35" s="127" t="s">
        <v>51</v>
      </c>
      <c r="E35" s="127" t="s">
        <v>53</v>
      </c>
      <c r="F35" s="117" t="s">
        <v>49</v>
      </c>
      <c r="G35" s="88">
        <v>46205</v>
      </c>
      <c r="H35" s="87" t="s">
        <v>210</v>
      </c>
      <c r="I35" s="88" t="s">
        <v>202</v>
      </c>
      <c r="J35" s="89" t="s">
        <v>2273</v>
      </c>
      <c r="K35" s="89" t="s">
        <v>212</v>
      </c>
      <c r="L35" s="89" t="s">
        <v>155</v>
      </c>
      <c r="M35" s="118" t="s">
        <v>211</v>
      </c>
      <c r="N35" s="90">
        <v>4000</v>
      </c>
      <c r="O35" s="91">
        <v>46204</v>
      </c>
      <c r="P35" s="90" t="s">
        <v>287</v>
      </c>
      <c r="Q35" s="90">
        <v>80</v>
      </c>
      <c r="R35" s="90">
        <v>24850</v>
      </c>
      <c r="S35" s="130">
        <v>5500</v>
      </c>
      <c r="T35" s="90">
        <f t="shared" si="0"/>
        <v>19350</v>
      </c>
      <c r="U35" s="92">
        <f t="shared" si="1"/>
        <v>17590.909090909088</v>
      </c>
      <c r="V35" s="92">
        <f t="shared" si="2"/>
        <v>70363636.36363636</v>
      </c>
      <c r="W35" s="92">
        <f t="shared" si="3"/>
        <v>7036363.6363636367</v>
      </c>
      <c r="Y35" s="115"/>
    </row>
    <row r="36" spans="1:25" s="94" customFormat="1" ht="30" customHeight="1">
      <c r="A36" s="85">
        <v>26</v>
      </c>
      <c r="B36" s="86" t="s">
        <v>213</v>
      </c>
      <c r="C36" s="127" t="s">
        <v>43</v>
      </c>
      <c r="D36" s="127" t="s">
        <v>51</v>
      </c>
      <c r="E36" s="127" t="s">
        <v>55</v>
      </c>
      <c r="F36" s="117" t="s">
        <v>56</v>
      </c>
      <c r="G36" s="88">
        <v>46204</v>
      </c>
      <c r="H36" s="87" t="s">
        <v>219</v>
      </c>
      <c r="I36" s="88" t="s">
        <v>216</v>
      </c>
      <c r="J36" s="89" t="s">
        <v>2639</v>
      </c>
      <c r="K36" s="89" t="s">
        <v>217</v>
      </c>
      <c r="L36" s="89" t="s">
        <v>155</v>
      </c>
      <c r="M36" s="118" t="s">
        <v>218</v>
      </c>
      <c r="N36" s="90">
        <v>42000</v>
      </c>
      <c r="O36" s="91">
        <v>46204</v>
      </c>
      <c r="P36" s="90" t="s">
        <v>287</v>
      </c>
      <c r="Q36" s="90">
        <v>80</v>
      </c>
      <c r="R36" s="90">
        <v>24590</v>
      </c>
      <c r="S36" s="130">
        <v>5300</v>
      </c>
      <c r="T36" s="90">
        <f t="shared" si="0"/>
        <v>19290</v>
      </c>
      <c r="U36" s="92">
        <f t="shared" si="1"/>
        <v>17536.363636363632</v>
      </c>
      <c r="V36" s="92">
        <f t="shared" si="2"/>
        <v>736527272.72727263</v>
      </c>
      <c r="W36" s="92">
        <f t="shared" si="3"/>
        <v>73652727.272727266</v>
      </c>
      <c r="Y36" s="115"/>
    </row>
    <row r="37" spans="1:25" s="94" customFormat="1" ht="30" customHeight="1">
      <c r="A37" s="85">
        <v>27</v>
      </c>
      <c r="B37" s="86" t="s">
        <v>213</v>
      </c>
      <c r="C37" s="127">
        <v>91</v>
      </c>
      <c r="D37" s="127" t="s">
        <v>51</v>
      </c>
      <c r="E37" s="127" t="s">
        <v>55</v>
      </c>
      <c r="F37" s="117" t="s">
        <v>56</v>
      </c>
      <c r="G37" s="88">
        <v>46204</v>
      </c>
      <c r="H37" s="87" t="s">
        <v>214</v>
      </c>
      <c r="I37" s="88" t="s">
        <v>215</v>
      </c>
      <c r="J37" s="89" t="s">
        <v>2638</v>
      </c>
      <c r="K37" s="89" t="s">
        <v>217</v>
      </c>
      <c r="L37" s="89" t="s">
        <v>155</v>
      </c>
      <c r="M37" s="118" t="s">
        <v>218</v>
      </c>
      <c r="N37" s="90">
        <v>47000</v>
      </c>
      <c r="O37" s="91">
        <v>46204</v>
      </c>
      <c r="P37" s="90" t="s">
        <v>287</v>
      </c>
      <c r="Q37" s="90">
        <v>80</v>
      </c>
      <c r="R37" s="90">
        <v>30720</v>
      </c>
      <c r="S37" s="130">
        <v>4000</v>
      </c>
      <c r="T37" s="90">
        <f t="shared" si="0"/>
        <v>26720</v>
      </c>
      <c r="U37" s="92">
        <f t="shared" si="1"/>
        <v>24290.909090909088</v>
      </c>
      <c r="V37" s="92">
        <f t="shared" si="2"/>
        <v>1141672727.272727</v>
      </c>
      <c r="W37" s="92">
        <f t="shared" si="3"/>
        <v>114167272.7272727</v>
      </c>
      <c r="Y37" s="115"/>
    </row>
    <row r="38" spans="1:25" s="94" customFormat="1" ht="30" customHeight="1">
      <c r="A38" s="85">
        <v>28</v>
      </c>
      <c r="B38" s="86" t="s">
        <v>50</v>
      </c>
      <c r="C38" s="127" t="s">
        <v>43</v>
      </c>
      <c r="D38" s="127" t="s">
        <v>51</v>
      </c>
      <c r="E38" s="127" t="s">
        <v>52</v>
      </c>
      <c r="F38" s="117" t="s">
        <v>49</v>
      </c>
      <c r="G38" s="88">
        <v>46205</v>
      </c>
      <c r="H38" s="87" t="s">
        <v>223</v>
      </c>
      <c r="I38" s="88" t="s">
        <v>224</v>
      </c>
      <c r="J38" s="89" t="s">
        <v>225</v>
      </c>
      <c r="K38" s="89" t="s">
        <v>226</v>
      </c>
      <c r="L38" s="89" t="s">
        <v>155</v>
      </c>
      <c r="M38" s="118" t="s">
        <v>227</v>
      </c>
      <c r="N38" s="90">
        <v>20000</v>
      </c>
      <c r="O38" s="91">
        <v>46204</v>
      </c>
      <c r="P38" s="90" t="s">
        <v>287</v>
      </c>
      <c r="Q38" s="90">
        <v>80</v>
      </c>
      <c r="R38" s="90">
        <v>24820</v>
      </c>
      <c r="S38" s="130">
        <v>5700</v>
      </c>
      <c r="T38" s="90">
        <f t="shared" si="0"/>
        <v>19120</v>
      </c>
      <c r="U38" s="92">
        <f t="shared" si="1"/>
        <v>17381.81818181818</v>
      </c>
      <c r="V38" s="92">
        <f t="shared" si="2"/>
        <v>347636363.63636357</v>
      </c>
      <c r="W38" s="92">
        <f t="shared" si="3"/>
        <v>34763636.36363636</v>
      </c>
      <c r="Y38" s="115"/>
    </row>
    <row r="39" spans="1:25" s="94" customFormat="1" ht="30" customHeight="1">
      <c r="A39" s="85">
        <v>30</v>
      </c>
      <c r="B39" s="86" t="s">
        <v>50</v>
      </c>
      <c r="C39" s="127" t="s">
        <v>43</v>
      </c>
      <c r="D39" s="127" t="s">
        <v>51</v>
      </c>
      <c r="E39" s="127" t="s">
        <v>52</v>
      </c>
      <c r="F39" s="117" t="s">
        <v>49</v>
      </c>
      <c r="G39" s="88">
        <v>46205</v>
      </c>
      <c r="H39" s="87" t="s">
        <v>232</v>
      </c>
      <c r="I39" s="88" t="s">
        <v>233</v>
      </c>
      <c r="J39" s="89" t="s">
        <v>234</v>
      </c>
      <c r="K39" s="89" t="s">
        <v>235</v>
      </c>
      <c r="L39" s="89" t="s">
        <v>156</v>
      </c>
      <c r="M39" s="118" t="s">
        <v>236</v>
      </c>
      <c r="N39" s="90">
        <v>4000</v>
      </c>
      <c r="O39" s="91">
        <v>46204</v>
      </c>
      <c r="P39" s="90" t="s">
        <v>287</v>
      </c>
      <c r="Q39" s="90">
        <v>80</v>
      </c>
      <c r="R39" s="90">
        <v>24820</v>
      </c>
      <c r="S39" s="130">
        <v>5700</v>
      </c>
      <c r="T39" s="90">
        <f t="shared" si="0"/>
        <v>19120</v>
      </c>
      <c r="U39" s="92">
        <f t="shared" si="1"/>
        <v>17381.81818181818</v>
      </c>
      <c r="V39" s="92">
        <f t="shared" si="2"/>
        <v>69527272.727272719</v>
      </c>
      <c r="W39" s="92">
        <f t="shared" si="3"/>
        <v>6952727.2727272725</v>
      </c>
      <c r="Y39" s="115"/>
    </row>
    <row r="40" spans="1:25" s="94" customFormat="1" ht="30" customHeight="1">
      <c r="A40" s="85">
        <v>29</v>
      </c>
      <c r="B40" s="86" t="s">
        <v>50</v>
      </c>
      <c r="C40" s="127" t="s">
        <v>43</v>
      </c>
      <c r="D40" s="127" t="s">
        <v>51</v>
      </c>
      <c r="E40" s="127" t="s">
        <v>55</v>
      </c>
      <c r="F40" s="117" t="s">
        <v>49</v>
      </c>
      <c r="G40" s="88">
        <v>46205</v>
      </c>
      <c r="H40" s="87" t="s">
        <v>348</v>
      </c>
      <c r="I40" s="88" t="s">
        <v>350</v>
      </c>
      <c r="J40" s="89" t="s">
        <v>2546</v>
      </c>
      <c r="K40" s="89" t="s">
        <v>349</v>
      </c>
      <c r="L40" s="89" t="s">
        <v>338</v>
      </c>
      <c r="M40" s="118" t="s">
        <v>351</v>
      </c>
      <c r="N40" s="90">
        <v>40000</v>
      </c>
      <c r="O40" s="91">
        <v>46204</v>
      </c>
      <c r="P40" s="90" t="s">
        <v>286</v>
      </c>
      <c r="Q40" s="90">
        <v>80</v>
      </c>
      <c r="R40" s="90">
        <v>24850</v>
      </c>
      <c r="S40" s="130">
        <v>5700</v>
      </c>
      <c r="T40" s="90">
        <f t="shared" si="0"/>
        <v>19150</v>
      </c>
      <c r="U40" s="92">
        <f t="shared" si="1"/>
        <v>17409.090909090908</v>
      </c>
      <c r="V40" s="92">
        <f t="shared" si="2"/>
        <v>696363636.36363626</v>
      </c>
      <c r="W40" s="92">
        <f t="shared" si="3"/>
        <v>69636363.636363626</v>
      </c>
      <c r="Y40" s="115"/>
    </row>
    <row r="41" spans="1:25" s="94" customFormat="1" ht="30" customHeight="1">
      <c r="A41" s="85">
        <v>31</v>
      </c>
      <c r="B41" s="86" t="s">
        <v>50</v>
      </c>
      <c r="C41" s="127" t="s">
        <v>43</v>
      </c>
      <c r="D41" s="127" t="s">
        <v>51</v>
      </c>
      <c r="E41" s="127" t="s">
        <v>53</v>
      </c>
      <c r="F41" s="117" t="s">
        <v>49</v>
      </c>
      <c r="G41" s="88">
        <v>46205</v>
      </c>
      <c r="H41" s="87" t="s">
        <v>252</v>
      </c>
      <c r="I41" s="88" t="s">
        <v>253</v>
      </c>
      <c r="J41" s="89" t="s">
        <v>2276</v>
      </c>
      <c r="K41" s="89" t="s">
        <v>254</v>
      </c>
      <c r="L41" s="89" t="s">
        <v>156</v>
      </c>
      <c r="M41" s="118" t="s">
        <v>255</v>
      </c>
      <c r="N41" s="90">
        <v>10000</v>
      </c>
      <c r="O41" s="91">
        <v>46204</v>
      </c>
      <c r="P41" s="90" t="s">
        <v>287</v>
      </c>
      <c r="Q41" s="90">
        <v>80</v>
      </c>
      <c r="R41" s="90">
        <v>24850</v>
      </c>
      <c r="S41" s="130">
        <v>5700</v>
      </c>
      <c r="T41" s="90">
        <f t="shared" si="0"/>
        <v>19150</v>
      </c>
      <c r="U41" s="92">
        <f t="shared" si="1"/>
        <v>17409.090909090908</v>
      </c>
      <c r="V41" s="92">
        <f t="shared" si="2"/>
        <v>174090909.09090906</v>
      </c>
      <c r="W41" s="92">
        <f t="shared" si="3"/>
        <v>17409090.909090906</v>
      </c>
      <c r="Y41" s="115"/>
    </row>
    <row r="42" spans="1:25" s="94" customFormat="1" ht="30" customHeight="1">
      <c r="A42" s="85">
        <v>32</v>
      </c>
      <c r="B42" s="86" t="s">
        <v>50</v>
      </c>
      <c r="C42" s="127" t="s">
        <v>43</v>
      </c>
      <c r="D42" s="127" t="s">
        <v>51</v>
      </c>
      <c r="E42" s="127" t="s">
        <v>55</v>
      </c>
      <c r="F42" s="117" t="s">
        <v>49</v>
      </c>
      <c r="G42" s="88">
        <v>46205</v>
      </c>
      <c r="H42" s="87" t="s">
        <v>352</v>
      </c>
      <c r="I42" s="88" t="s">
        <v>353</v>
      </c>
      <c r="J42" s="89" t="s">
        <v>2547</v>
      </c>
      <c r="K42" s="89" t="s">
        <v>354</v>
      </c>
      <c r="L42" s="89" t="s">
        <v>338</v>
      </c>
      <c r="M42" s="118" t="s">
        <v>355</v>
      </c>
      <c r="N42" s="90">
        <v>20000</v>
      </c>
      <c r="O42" s="91">
        <v>46204</v>
      </c>
      <c r="P42" s="90" t="s">
        <v>286</v>
      </c>
      <c r="Q42" s="90">
        <v>80</v>
      </c>
      <c r="R42" s="90">
        <v>24850</v>
      </c>
      <c r="S42" s="130">
        <v>5700</v>
      </c>
      <c r="T42" s="90">
        <f t="shared" si="0"/>
        <v>19150</v>
      </c>
      <c r="U42" s="92">
        <f t="shared" si="1"/>
        <v>17409.090909090908</v>
      </c>
      <c r="V42" s="92">
        <f t="shared" si="2"/>
        <v>348181818.18181813</v>
      </c>
      <c r="W42" s="92">
        <f t="shared" si="3"/>
        <v>34818181.818181813</v>
      </c>
      <c r="Y42" s="115"/>
    </row>
    <row r="43" spans="1:25" s="94" customFormat="1" ht="30" customHeight="1">
      <c r="A43" s="85">
        <v>33</v>
      </c>
      <c r="B43" s="86" t="s">
        <v>50</v>
      </c>
      <c r="C43" s="127" t="s">
        <v>43</v>
      </c>
      <c r="D43" s="127" t="s">
        <v>51</v>
      </c>
      <c r="E43" s="127" t="s">
        <v>52</v>
      </c>
      <c r="F43" s="117" t="s">
        <v>49</v>
      </c>
      <c r="G43" s="88">
        <v>46205</v>
      </c>
      <c r="H43" s="87" t="s">
        <v>256</v>
      </c>
      <c r="I43" s="88" t="s">
        <v>257</v>
      </c>
      <c r="J43" s="89" t="s">
        <v>258</v>
      </c>
      <c r="K43" s="89" t="s">
        <v>259</v>
      </c>
      <c r="L43" s="89" t="s">
        <v>156</v>
      </c>
      <c r="M43" s="118" t="s">
        <v>260</v>
      </c>
      <c r="N43" s="90">
        <v>16000</v>
      </c>
      <c r="O43" s="91">
        <v>46204</v>
      </c>
      <c r="P43" s="90" t="s">
        <v>287</v>
      </c>
      <c r="Q43" s="90">
        <v>80</v>
      </c>
      <c r="R43" s="90">
        <v>24820</v>
      </c>
      <c r="S43" s="130">
        <v>5800</v>
      </c>
      <c r="T43" s="90">
        <f t="shared" si="0"/>
        <v>19020</v>
      </c>
      <c r="U43" s="92">
        <f t="shared" si="1"/>
        <v>17290.909090909088</v>
      </c>
      <c r="V43" s="92">
        <f t="shared" si="2"/>
        <v>276654545.45454544</v>
      </c>
      <c r="W43" s="92">
        <f t="shared" si="3"/>
        <v>27665454.545454547</v>
      </c>
      <c r="Y43" s="115"/>
    </row>
    <row r="44" spans="1:25" s="94" customFormat="1" ht="30" customHeight="1">
      <c r="A44" s="85">
        <v>34</v>
      </c>
      <c r="B44" s="86" t="s">
        <v>50</v>
      </c>
      <c r="C44" s="127" t="s">
        <v>43</v>
      </c>
      <c r="D44" s="127" t="s">
        <v>51</v>
      </c>
      <c r="E44" s="127" t="s">
        <v>53</v>
      </c>
      <c r="F44" s="117" t="s">
        <v>49</v>
      </c>
      <c r="G44" s="88">
        <v>46205</v>
      </c>
      <c r="H44" s="87" t="s">
        <v>261</v>
      </c>
      <c r="I44" s="88" t="s">
        <v>262</v>
      </c>
      <c r="J44" s="89" t="s">
        <v>2277</v>
      </c>
      <c r="K44" s="89" t="s">
        <v>263</v>
      </c>
      <c r="L44" s="89" t="s">
        <v>156</v>
      </c>
      <c r="M44" s="118" t="s">
        <v>264</v>
      </c>
      <c r="N44" s="90">
        <v>10000</v>
      </c>
      <c r="O44" s="91">
        <v>46204</v>
      </c>
      <c r="P44" s="90" t="s">
        <v>287</v>
      </c>
      <c r="Q44" s="90">
        <v>80</v>
      </c>
      <c r="R44" s="90">
        <v>24850</v>
      </c>
      <c r="S44" s="130">
        <v>5700</v>
      </c>
      <c r="T44" s="90">
        <f t="shared" si="0"/>
        <v>19150</v>
      </c>
      <c r="U44" s="92">
        <f t="shared" si="1"/>
        <v>17409.090909090908</v>
      </c>
      <c r="V44" s="92">
        <f t="shared" si="2"/>
        <v>174090909.09090906</v>
      </c>
      <c r="W44" s="92">
        <f t="shared" si="3"/>
        <v>17409090.909090906</v>
      </c>
      <c r="Y44" s="115"/>
    </row>
    <row r="45" spans="1:25" s="94" customFormat="1" ht="30" customHeight="1">
      <c r="A45" s="85">
        <v>35</v>
      </c>
      <c r="B45" s="86" t="s">
        <v>50</v>
      </c>
      <c r="C45" s="127" t="s">
        <v>43</v>
      </c>
      <c r="D45" s="127" t="s">
        <v>51</v>
      </c>
      <c r="E45" s="127" t="s">
        <v>55</v>
      </c>
      <c r="F45" s="117" t="s">
        <v>49</v>
      </c>
      <c r="G45" s="88">
        <v>46205</v>
      </c>
      <c r="H45" s="87" t="s">
        <v>265</v>
      </c>
      <c r="I45" s="88" t="s">
        <v>266</v>
      </c>
      <c r="J45" s="89" t="s">
        <v>2548</v>
      </c>
      <c r="K45" s="89" t="s">
        <v>267</v>
      </c>
      <c r="L45" s="89" t="s">
        <v>156</v>
      </c>
      <c r="M45" s="118" t="s">
        <v>268</v>
      </c>
      <c r="N45" s="90">
        <v>70000</v>
      </c>
      <c r="O45" s="91">
        <v>46204</v>
      </c>
      <c r="P45" s="90" t="s">
        <v>287</v>
      </c>
      <c r="Q45" s="90">
        <v>80</v>
      </c>
      <c r="R45" s="90">
        <v>24850</v>
      </c>
      <c r="S45" s="130">
        <v>5700</v>
      </c>
      <c r="T45" s="90">
        <f t="shared" si="0"/>
        <v>19150</v>
      </c>
      <c r="U45" s="92">
        <f t="shared" si="1"/>
        <v>17409.090909090908</v>
      </c>
      <c r="V45" s="92">
        <f t="shared" si="2"/>
        <v>1218636363.6363635</v>
      </c>
      <c r="W45" s="92">
        <f t="shared" si="3"/>
        <v>121863636.36363636</v>
      </c>
      <c r="Y45" s="115"/>
    </row>
    <row r="46" spans="1:25" s="94" customFormat="1" ht="30" customHeight="1">
      <c r="A46" s="85">
        <v>36</v>
      </c>
      <c r="B46" s="86" t="s">
        <v>50</v>
      </c>
      <c r="C46" s="127" t="s">
        <v>43</v>
      </c>
      <c r="D46" s="127" t="s">
        <v>51</v>
      </c>
      <c r="E46" s="127" t="s">
        <v>53</v>
      </c>
      <c r="F46" s="117" t="s">
        <v>49</v>
      </c>
      <c r="G46" s="88">
        <v>46205</v>
      </c>
      <c r="H46" s="87" t="s">
        <v>269</v>
      </c>
      <c r="I46" s="88" t="s">
        <v>270</v>
      </c>
      <c r="J46" s="89" t="s">
        <v>2275</v>
      </c>
      <c r="K46" s="89" t="s">
        <v>271</v>
      </c>
      <c r="L46" s="89" t="s">
        <v>156</v>
      </c>
      <c r="M46" s="118" t="s">
        <v>272</v>
      </c>
      <c r="N46" s="90">
        <v>4000</v>
      </c>
      <c r="O46" s="91">
        <v>46204</v>
      </c>
      <c r="P46" s="90" t="s">
        <v>287</v>
      </c>
      <c r="Q46" s="90">
        <v>80</v>
      </c>
      <c r="R46" s="90">
        <v>24850</v>
      </c>
      <c r="S46" s="130">
        <v>5700</v>
      </c>
      <c r="T46" s="90">
        <f t="shared" si="0"/>
        <v>19150</v>
      </c>
      <c r="U46" s="92">
        <f t="shared" si="1"/>
        <v>17409.090909090908</v>
      </c>
      <c r="V46" s="92">
        <f t="shared" si="2"/>
        <v>69636363.636363626</v>
      </c>
      <c r="W46" s="92">
        <f t="shared" si="3"/>
        <v>6963636.3636363633</v>
      </c>
      <c r="Y46" s="115"/>
    </row>
    <row r="47" spans="1:25" s="94" customFormat="1" ht="30" customHeight="1">
      <c r="A47" s="85">
        <v>37</v>
      </c>
      <c r="B47" s="86" t="s">
        <v>50</v>
      </c>
      <c r="C47" s="127" t="s">
        <v>43</v>
      </c>
      <c r="D47" s="127" t="s">
        <v>51</v>
      </c>
      <c r="E47" s="127" t="s">
        <v>52</v>
      </c>
      <c r="F47" s="117" t="s">
        <v>49</v>
      </c>
      <c r="G47" s="88">
        <v>46205</v>
      </c>
      <c r="H47" s="87" t="s">
        <v>273</v>
      </c>
      <c r="I47" s="88" t="s">
        <v>274</v>
      </c>
      <c r="J47" s="89" t="s">
        <v>279</v>
      </c>
      <c r="K47" s="89" t="s">
        <v>275</v>
      </c>
      <c r="L47" s="89" t="s">
        <v>156</v>
      </c>
      <c r="M47" s="118" t="s">
        <v>276</v>
      </c>
      <c r="N47" s="90">
        <v>20000</v>
      </c>
      <c r="O47" s="91">
        <v>46204</v>
      </c>
      <c r="P47" s="90" t="s">
        <v>287</v>
      </c>
      <c r="Q47" s="90">
        <v>80</v>
      </c>
      <c r="R47" s="90">
        <v>25010</v>
      </c>
      <c r="S47" s="130">
        <v>5700</v>
      </c>
      <c r="T47" s="90">
        <f t="shared" si="0"/>
        <v>19310</v>
      </c>
      <c r="U47" s="92">
        <f t="shared" si="1"/>
        <v>17554.545454545452</v>
      </c>
      <c r="V47" s="92">
        <f t="shared" si="2"/>
        <v>351090909.09090906</v>
      </c>
      <c r="W47" s="92">
        <f t="shared" si="3"/>
        <v>35109090.909090906</v>
      </c>
      <c r="Y47" s="115"/>
    </row>
    <row r="48" spans="1:25" s="94" customFormat="1" ht="30" customHeight="1">
      <c r="A48" s="85">
        <v>38</v>
      </c>
      <c r="B48" s="86" t="s">
        <v>50</v>
      </c>
      <c r="C48" s="127" t="s">
        <v>43</v>
      </c>
      <c r="D48" s="127" t="s">
        <v>51</v>
      </c>
      <c r="E48" s="127" t="s">
        <v>52</v>
      </c>
      <c r="F48" s="117" t="s">
        <v>49</v>
      </c>
      <c r="G48" s="88">
        <v>46205</v>
      </c>
      <c r="H48" s="87" t="s">
        <v>277</v>
      </c>
      <c r="I48" s="88" t="s">
        <v>278</v>
      </c>
      <c r="J48" s="89" t="s">
        <v>280</v>
      </c>
      <c r="K48" s="89" t="s">
        <v>281</v>
      </c>
      <c r="L48" s="89" t="s">
        <v>156</v>
      </c>
      <c r="M48" s="118" t="s">
        <v>282</v>
      </c>
      <c r="N48" s="90">
        <v>42000</v>
      </c>
      <c r="O48" s="91">
        <v>46204</v>
      </c>
      <c r="P48" s="90" t="s">
        <v>287</v>
      </c>
      <c r="Q48" s="90">
        <v>80</v>
      </c>
      <c r="R48" s="90">
        <v>24820</v>
      </c>
      <c r="S48" s="130">
        <v>5700</v>
      </c>
      <c r="T48" s="90">
        <f t="shared" si="0"/>
        <v>19120</v>
      </c>
      <c r="U48" s="92">
        <f t="shared" si="1"/>
        <v>17381.81818181818</v>
      </c>
      <c r="V48" s="92">
        <f t="shared" si="2"/>
        <v>730036363.63636351</v>
      </c>
      <c r="W48" s="92">
        <f t="shared" si="3"/>
        <v>73003636.36363636</v>
      </c>
      <c r="Y48" s="115"/>
    </row>
    <row r="49" spans="1:25" s="94" customFormat="1" ht="30" customHeight="1">
      <c r="A49" s="85">
        <v>39</v>
      </c>
      <c r="B49" s="86" t="s">
        <v>50</v>
      </c>
      <c r="C49" s="127" t="s">
        <v>43</v>
      </c>
      <c r="D49" s="127" t="s">
        <v>51</v>
      </c>
      <c r="E49" s="127" t="s">
        <v>55</v>
      </c>
      <c r="F49" s="117" t="s">
        <v>49</v>
      </c>
      <c r="G49" s="88">
        <v>46205</v>
      </c>
      <c r="H49" s="87" t="s">
        <v>283</v>
      </c>
      <c r="I49" s="88" t="s">
        <v>284</v>
      </c>
      <c r="J49" s="89" t="s">
        <v>2549</v>
      </c>
      <c r="K49" s="89" t="s">
        <v>285</v>
      </c>
      <c r="L49" s="89" t="s">
        <v>155</v>
      </c>
      <c r="M49" s="118" t="s">
        <v>291</v>
      </c>
      <c r="N49" s="90">
        <v>10000</v>
      </c>
      <c r="O49" s="91">
        <v>46204</v>
      </c>
      <c r="P49" s="90" t="s">
        <v>287</v>
      </c>
      <c r="Q49" s="90">
        <v>80</v>
      </c>
      <c r="R49" s="90">
        <v>24850</v>
      </c>
      <c r="S49" s="130">
        <v>5600</v>
      </c>
      <c r="T49" s="90">
        <f t="shared" si="0"/>
        <v>19250</v>
      </c>
      <c r="U49" s="92">
        <f t="shared" si="1"/>
        <v>17499.999999999996</v>
      </c>
      <c r="V49" s="92">
        <f t="shared" si="2"/>
        <v>174999999.99999997</v>
      </c>
      <c r="W49" s="92">
        <f t="shared" si="3"/>
        <v>17499999.999999996</v>
      </c>
      <c r="Y49" s="115"/>
    </row>
    <row r="50" spans="1:25" s="94" customFormat="1" ht="30" customHeight="1">
      <c r="A50" s="85">
        <v>40</v>
      </c>
      <c r="B50" s="86" t="s">
        <v>50</v>
      </c>
      <c r="C50" s="127" t="s">
        <v>43</v>
      </c>
      <c r="D50" s="127" t="s">
        <v>51</v>
      </c>
      <c r="E50" s="127" t="s">
        <v>52</v>
      </c>
      <c r="F50" s="117" t="s">
        <v>49</v>
      </c>
      <c r="G50" s="88">
        <v>46205</v>
      </c>
      <c r="H50" s="87" t="s">
        <v>288</v>
      </c>
      <c r="I50" s="88" t="s">
        <v>289</v>
      </c>
      <c r="J50" s="89" t="s">
        <v>290</v>
      </c>
      <c r="K50" s="89" t="s">
        <v>296</v>
      </c>
      <c r="L50" s="89" t="s">
        <v>155</v>
      </c>
      <c r="M50" s="118" t="s">
        <v>292</v>
      </c>
      <c r="N50" s="90">
        <v>40000</v>
      </c>
      <c r="O50" s="91">
        <v>46204</v>
      </c>
      <c r="P50" s="90" t="s">
        <v>286</v>
      </c>
      <c r="Q50" s="90">
        <v>80</v>
      </c>
      <c r="R50" s="90">
        <v>25120</v>
      </c>
      <c r="S50" s="130">
        <v>5600</v>
      </c>
      <c r="T50" s="90">
        <f t="shared" si="0"/>
        <v>19520</v>
      </c>
      <c r="U50" s="92">
        <f t="shared" si="1"/>
        <v>17745.454545454544</v>
      </c>
      <c r="V50" s="92">
        <f t="shared" si="2"/>
        <v>709818181.81818175</v>
      </c>
      <c r="W50" s="92">
        <f t="shared" si="3"/>
        <v>70981818.181818172</v>
      </c>
      <c r="Y50" s="115"/>
    </row>
    <row r="51" spans="1:25" s="94" customFormat="1" ht="30" customHeight="1">
      <c r="A51" s="85">
        <v>41</v>
      </c>
      <c r="B51" s="86" t="s">
        <v>50</v>
      </c>
      <c r="C51" s="127" t="s">
        <v>43</v>
      </c>
      <c r="D51" s="127" t="s">
        <v>51</v>
      </c>
      <c r="E51" s="127" t="s">
        <v>52</v>
      </c>
      <c r="F51" s="117" t="s">
        <v>49</v>
      </c>
      <c r="G51" s="88">
        <v>46205</v>
      </c>
      <c r="H51" s="87" t="s">
        <v>293</v>
      </c>
      <c r="I51" s="88" t="s">
        <v>316</v>
      </c>
      <c r="J51" s="89" t="s">
        <v>295</v>
      </c>
      <c r="K51" s="89" t="s">
        <v>294</v>
      </c>
      <c r="L51" s="89" t="s">
        <v>155</v>
      </c>
      <c r="M51" s="118" t="s">
        <v>297</v>
      </c>
      <c r="N51" s="90">
        <v>8000</v>
      </c>
      <c r="O51" s="91">
        <v>46204</v>
      </c>
      <c r="P51" s="90" t="s">
        <v>286</v>
      </c>
      <c r="Q51" s="90">
        <v>80</v>
      </c>
      <c r="R51" s="90">
        <v>24820</v>
      </c>
      <c r="S51" s="130">
        <v>5700</v>
      </c>
      <c r="T51" s="90">
        <f t="shared" si="0"/>
        <v>19120</v>
      </c>
      <c r="U51" s="92">
        <f t="shared" si="1"/>
        <v>17381.81818181818</v>
      </c>
      <c r="V51" s="92">
        <f t="shared" si="2"/>
        <v>139054545.45454544</v>
      </c>
      <c r="W51" s="92">
        <f t="shared" si="3"/>
        <v>13905454.545454545</v>
      </c>
      <c r="Y51" s="115"/>
    </row>
    <row r="52" spans="1:25" s="94" customFormat="1" ht="30" customHeight="1">
      <c r="A52" s="85">
        <v>42</v>
      </c>
      <c r="B52" s="86" t="s">
        <v>50</v>
      </c>
      <c r="C52" s="127" t="s">
        <v>43</v>
      </c>
      <c r="D52" s="127" t="s">
        <v>51</v>
      </c>
      <c r="E52" s="127" t="s">
        <v>52</v>
      </c>
      <c r="F52" s="117" t="s">
        <v>49</v>
      </c>
      <c r="G52" s="88">
        <v>46205</v>
      </c>
      <c r="H52" s="87" t="s">
        <v>298</v>
      </c>
      <c r="I52" s="88" t="s">
        <v>317</v>
      </c>
      <c r="J52" s="89" t="s">
        <v>300</v>
      </c>
      <c r="K52" s="89" t="s">
        <v>299</v>
      </c>
      <c r="L52" s="89" t="s">
        <v>155</v>
      </c>
      <c r="M52" s="118" t="s">
        <v>301</v>
      </c>
      <c r="N52" s="90">
        <v>60000</v>
      </c>
      <c r="O52" s="91">
        <v>46204</v>
      </c>
      <c r="P52" s="90" t="s">
        <v>286</v>
      </c>
      <c r="Q52" s="90">
        <v>80</v>
      </c>
      <c r="R52" s="90">
        <v>25190</v>
      </c>
      <c r="S52" s="130">
        <v>5600</v>
      </c>
      <c r="T52" s="90">
        <f t="shared" si="0"/>
        <v>19590</v>
      </c>
      <c r="U52" s="92">
        <f t="shared" si="1"/>
        <v>17809.090909090908</v>
      </c>
      <c r="V52" s="92">
        <f t="shared" si="2"/>
        <v>1068545454.5454544</v>
      </c>
      <c r="W52" s="92">
        <f t="shared" si="3"/>
        <v>106854545.45454544</v>
      </c>
      <c r="Y52" s="115"/>
    </row>
    <row r="53" spans="1:25" s="94" customFormat="1" ht="30" customHeight="1">
      <c r="A53" s="85">
        <v>43</v>
      </c>
      <c r="B53" s="86" t="s">
        <v>50</v>
      </c>
      <c r="C53" s="127" t="s">
        <v>43</v>
      </c>
      <c r="D53" s="127" t="s">
        <v>51</v>
      </c>
      <c r="E53" s="127" t="s">
        <v>55</v>
      </c>
      <c r="F53" s="117" t="s">
        <v>49</v>
      </c>
      <c r="G53" s="88">
        <v>46205</v>
      </c>
      <c r="H53" s="87" t="s">
        <v>302</v>
      </c>
      <c r="I53" s="88" t="s">
        <v>318</v>
      </c>
      <c r="J53" s="89" t="s">
        <v>2550</v>
      </c>
      <c r="K53" s="89" t="s">
        <v>303</v>
      </c>
      <c r="L53" s="89" t="s">
        <v>155</v>
      </c>
      <c r="M53" s="118" t="s">
        <v>304</v>
      </c>
      <c r="N53" s="90">
        <v>120000</v>
      </c>
      <c r="O53" s="91">
        <v>46204</v>
      </c>
      <c r="P53" s="90" t="s">
        <v>286</v>
      </c>
      <c r="Q53" s="90">
        <v>80</v>
      </c>
      <c r="R53" s="90">
        <v>25030</v>
      </c>
      <c r="S53" s="130">
        <v>3865</v>
      </c>
      <c r="T53" s="90">
        <f t="shared" si="0"/>
        <v>21165</v>
      </c>
      <c r="U53" s="92">
        <f t="shared" si="1"/>
        <v>19240.909090909088</v>
      </c>
      <c r="V53" s="92">
        <f t="shared" si="2"/>
        <v>2308909090.9090905</v>
      </c>
      <c r="W53" s="92">
        <f t="shared" si="3"/>
        <v>230890909.09090906</v>
      </c>
      <c r="Y53" s="115"/>
    </row>
    <row r="54" spans="1:25" s="94" customFormat="1" ht="30" customHeight="1">
      <c r="A54" s="85">
        <v>44</v>
      </c>
      <c r="B54" s="86" t="s">
        <v>50</v>
      </c>
      <c r="C54" s="127" t="s">
        <v>43</v>
      </c>
      <c r="D54" s="127" t="s">
        <v>51</v>
      </c>
      <c r="E54" s="127" t="s">
        <v>55</v>
      </c>
      <c r="F54" s="117" t="s">
        <v>49</v>
      </c>
      <c r="G54" s="88">
        <v>46205</v>
      </c>
      <c r="H54" s="87" t="s">
        <v>315</v>
      </c>
      <c r="I54" s="88" t="s">
        <v>319</v>
      </c>
      <c r="J54" s="89" t="s">
        <v>2552</v>
      </c>
      <c r="K54" s="89" t="s">
        <v>320</v>
      </c>
      <c r="L54" s="89" t="s">
        <v>155</v>
      </c>
      <c r="M54" s="118" t="s">
        <v>321</v>
      </c>
      <c r="N54" s="90">
        <v>20000</v>
      </c>
      <c r="O54" s="91">
        <v>46204</v>
      </c>
      <c r="P54" s="90" t="s">
        <v>286</v>
      </c>
      <c r="Q54" s="90">
        <v>80</v>
      </c>
      <c r="R54" s="90">
        <v>25150</v>
      </c>
      <c r="S54" s="130">
        <v>5700</v>
      </c>
      <c r="T54" s="90">
        <f t="shared" si="0"/>
        <v>19450</v>
      </c>
      <c r="U54" s="92">
        <f t="shared" si="1"/>
        <v>17681.81818181818</v>
      </c>
      <c r="V54" s="92">
        <f t="shared" si="2"/>
        <v>353636363.63636357</v>
      </c>
      <c r="W54" s="92">
        <f t="shared" si="3"/>
        <v>35363636.36363636</v>
      </c>
      <c r="Y54" s="115"/>
    </row>
    <row r="55" spans="1:25" s="94" customFormat="1" ht="30" customHeight="1">
      <c r="A55" s="85">
        <v>45</v>
      </c>
      <c r="B55" s="86" t="s">
        <v>50</v>
      </c>
      <c r="C55" s="127" t="s">
        <v>43</v>
      </c>
      <c r="D55" s="127" t="s">
        <v>51</v>
      </c>
      <c r="E55" s="127" t="s">
        <v>55</v>
      </c>
      <c r="F55" s="117" t="s">
        <v>49</v>
      </c>
      <c r="G55" s="88">
        <v>46205</v>
      </c>
      <c r="H55" s="87" t="s">
        <v>322</v>
      </c>
      <c r="I55" s="88" t="s">
        <v>323</v>
      </c>
      <c r="J55" s="89" t="s">
        <v>2551</v>
      </c>
      <c r="K55" s="89" t="s">
        <v>324</v>
      </c>
      <c r="L55" s="89" t="s">
        <v>155</v>
      </c>
      <c r="M55" s="118" t="s">
        <v>325</v>
      </c>
      <c r="N55" s="90">
        <v>40000</v>
      </c>
      <c r="O55" s="91">
        <v>46204</v>
      </c>
      <c r="P55" s="90" t="s">
        <v>286</v>
      </c>
      <c r="Q55" s="90">
        <v>80</v>
      </c>
      <c r="R55" s="90">
        <v>24850</v>
      </c>
      <c r="S55" s="130">
        <v>5700</v>
      </c>
      <c r="T55" s="90">
        <f t="shared" si="0"/>
        <v>19150</v>
      </c>
      <c r="U55" s="92">
        <f t="shared" si="1"/>
        <v>17409.090909090908</v>
      </c>
      <c r="V55" s="92">
        <f t="shared" si="2"/>
        <v>696363636.36363626</v>
      </c>
      <c r="W55" s="92">
        <f t="shared" si="3"/>
        <v>69636363.636363626</v>
      </c>
      <c r="Y55" s="115"/>
    </row>
    <row r="56" spans="1:25" s="94" customFormat="1" ht="30" customHeight="1">
      <c r="A56" s="85">
        <v>46</v>
      </c>
      <c r="B56" s="86" t="s">
        <v>50</v>
      </c>
      <c r="C56" s="127" t="s">
        <v>43</v>
      </c>
      <c r="D56" s="127" t="s">
        <v>51</v>
      </c>
      <c r="E56" s="127" t="s">
        <v>52</v>
      </c>
      <c r="F56" s="117" t="s">
        <v>49</v>
      </c>
      <c r="G56" s="88">
        <v>46205</v>
      </c>
      <c r="H56" s="87" t="s">
        <v>330</v>
      </c>
      <c r="I56" s="88" t="s">
        <v>331</v>
      </c>
      <c r="J56" s="89" t="s">
        <v>332</v>
      </c>
      <c r="K56" s="89" t="s">
        <v>333</v>
      </c>
      <c r="L56" s="89" t="s">
        <v>155</v>
      </c>
      <c r="M56" s="118" t="s">
        <v>334</v>
      </c>
      <c r="N56" s="90">
        <v>100000</v>
      </c>
      <c r="O56" s="91">
        <v>46204</v>
      </c>
      <c r="P56" s="90" t="s">
        <v>286</v>
      </c>
      <c r="Q56" s="90">
        <v>80</v>
      </c>
      <c r="R56" s="90">
        <v>24820</v>
      </c>
      <c r="S56" s="130">
        <v>5800</v>
      </c>
      <c r="T56" s="90">
        <f t="shared" si="0"/>
        <v>19020</v>
      </c>
      <c r="U56" s="92">
        <f t="shared" si="1"/>
        <v>17290.909090909088</v>
      </c>
      <c r="V56" s="92">
        <f t="shared" si="2"/>
        <v>1729090909.0909088</v>
      </c>
      <c r="W56" s="92">
        <f t="shared" si="3"/>
        <v>172909090.90909088</v>
      </c>
      <c r="Y56" s="115"/>
    </row>
    <row r="57" spans="1:25" s="94" customFormat="1" ht="30" customHeight="1">
      <c r="A57" s="85">
        <v>47</v>
      </c>
      <c r="B57" s="86" t="s">
        <v>50</v>
      </c>
      <c r="C57" s="127" t="s">
        <v>43</v>
      </c>
      <c r="D57" s="127" t="s">
        <v>51</v>
      </c>
      <c r="E57" s="127" t="s">
        <v>52</v>
      </c>
      <c r="F57" s="117" t="s">
        <v>49</v>
      </c>
      <c r="G57" s="88">
        <v>46205</v>
      </c>
      <c r="H57" s="87" t="s">
        <v>326</v>
      </c>
      <c r="I57" s="88" t="s">
        <v>327</v>
      </c>
      <c r="J57" s="89" t="s">
        <v>1015</v>
      </c>
      <c r="K57" s="89" t="s">
        <v>328</v>
      </c>
      <c r="L57" s="89" t="s">
        <v>155</v>
      </c>
      <c r="M57" s="118" t="s">
        <v>329</v>
      </c>
      <c r="N57" s="90">
        <v>10000</v>
      </c>
      <c r="O57" s="91">
        <v>46204</v>
      </c>
      <c r="P57" s="90" t="s">
        <v>286</v>
      </c>
      <c r="Q57" s="90">
        <v>80</v>
      </c>
      <c r="R57" s="90">
        <v>24820</v>
      </c>
      <c r="S57" s="130">
        <v>5700</v>
      </c>
      <c r="T57" s="90">
        <f t="shared" si="0"/>
        <v>19120</v>
      </c>
      <c r="U57" s="92">
        <f t="shared" si="1"/>
        <v>17381.81818181818</v>
      </c>
      <c r="V57" s="92">
        <f t="shared" si="2"/>
        <v>173818181.81818178</v>
      </c>
      <c r="W57" s="92">
        <f t="shared" si="3"/>
        <v>17381818.18181818</v>
      </c>
      <c r="Y57" s="115"/>
    </row>
    <row r="58" spans="1:25" s="94" customFormat="1" ht="30" customHeight="1">
      <c r="A58" s="85">
        <v>48</v>
      </c>
      <c r="B58" s="86" t="s">
        <v>50</v>
      </c>
      <c r="C58" s="127" t="s">
        <v>43</v>
      </c>
      <c r="D58" s="127" t="s">
        <v>51</v>
      </c>
      <c r="E58" s="127" t="s">
        <v>53</v>
      </c>
      <c r="F58" s="117" t="s">
        <v>49</v>
      </c>
      <c r="G58" s="88">
        <v>46206</v>
      </c>
      <c r="H58" s="87" t="s">
        <v>335</v>
      </c>
      <c r="I58" s="88" t="s">
        <v>336</v>
      </c>
      <c r="J58" s="89" t="s">
        <v>2279</v>
      </c>
      <c r="K58" s="89" t="s">
        <v>337</v>
      </c>
      <c r="L58" s="89" t="s">
        <v>339</v>
      </c>
      <c r="M58" s="118" t="s">
        <v>340</v>
      </c>
      <c r="N58" s="90">
        <v>20000</v>
      </c>
      <c r="O58" s="91">
        <v>46204</v>
      </c>
      <c r="P58" s="90" t="s">
        <v>286</v>
      </c>
      <c r="Q58" s="90">
        <v>80</v>
      </c>
      <c r="R58" s="90">
        <v>24850</v>
      </c>
      <c r="S58" s="130">
        <v>5700</v>
      </c>
      <c r="T58" s="90">
        <f t="shared" si="0"/>
        <v>19150</v>
      </c>
      <c r="U58" s="92">
        <f t="shared" si="1"/>
        <v>17409.090909090908</v>
      </c>
      <c r="V58" s="92">
        <f t="shared" si="2"/>
        <v>348181818.18181813</v>
      </c>
      <c r="W58" s="92">
        <f t="shared" si="3"/>
        <v>34818181.818181813</v>
      </c>
      <c r="Y58" s="115"/>
    </row>
    <row r="59" spans="1:25" s="94" customFormat="1" ht="30" customHeight="1">
      <c r="A59" s="85">
        <v>49</v>
      </c>
      <c r="B59" s="86" t="s">
        <v>50</v>
      </c>
      <c r="C59" s="127" t="s">
        <v>43</v>
      </c>
      <c r="D59" s="127" t="s">
        <v>51</v>
      </c>
      <c r="E59" s="127" t="s">
        <v>52</v>
      </c>
      <c r="F59" s="117" t="s">
        <v>49</v>
      </c>
      <c r="G59" s="88">
        <v>46206</v>
      </c>
      <c r="H59" s="87" t="s">
        <v>341</v>
      </c>
      <c r="I59" s="88" t="s">
        <v>342</v>
      </c>
      <c r="J59" s="89" t="s">
        <v>343</v>
      </c>
      <c r="K59" s="89" t="s">
        <v>344</v>
      </c>
      <c r="L59" s="89" t="s">
        <v>339</v>
      </c>
      <c r="M59" s="118" t="s">
        <v>345</v>
      </c>
      <c r="N59" s="90">
        <v>20000</v>
      </c>
      <c r="O59" s="91">
        <v>46204</v>
      </c>
      <c r="P59" s="90" t="s">
        <v>286</v>
      </c>
      <c r="Q59" s="90">
        <v>80</v>
      </c>
      <c r="R59" s="90">
        <v>24860</v>
      </c>
      <c r="S59" s="130">
        <v>5400</v>
      </c>
      <c r="T59" s="90">
        <f t="shared" si="0"/>
        <v>19460</v>
      </c>
      <c r="U59" s="92">
        <f t="shared" si="1"/>
        <v>17690.909090909088</v>
      </c>
      <c r="V59" s="92">
        <f t="shared" si="2"/>
        <v>353818181.81818175</v>
      </c>
      <c r="W59" s="92">
        <f t="shared" si="3"/>
        <v>35381818.18181818</v>
      </c>
      <c r="Y59" s="115"/>
    </row>
    <row r="60" spans="1:25" s="94" customFormat="1" ht="30" customHeight="1">
      <c r="A60" s="85">
        <v>50</v>
      </c>
      <c r="B60" s="86" t="s">
        <v>50</v>
      </c>
      <c r="C60" s="127" t="s">
        <v>43</v>
      </c>
      <c r="D60" s="127" t="s">
        <v>51</v>
      </c>
      <c r="E60" s="127" t="s">
        <v>52</v>
      </c>
      <c r="F60" s="117" t="s">
        <v>49</v>
      </c>
      <c r="G60" s="88">
        <v>46206</v>
      </c>
      <c r="H60" s="87" t="s">
        <v>357</v>
      </c>
      <c r="I60" s="88" t="s">
        <v>358</v>
      </c>
      <c r="J60" s="89" t="s">
        <v>359</v>
      </c>
      <c r="K60" s="89" t="s">
        <v>360</v>
      </c>
      <c r="L60" s="89" t="s">
        <v>339</v>
      </c>
      <c r="M60" s="118" t="s">
        <v>361</v>
      </c>
      <c r="N60" s="90">
        <v>20000</v>
      </c>
      <c r="O60" s="91">
        <v>46204</v>
      </c>
      <c r="P60" s="90" t="s">
        <v>286</v>
      </c>
      <c r="Q60" s="90">
        <v>80</v>
      </c>
      <c r="R60" s="90">
        <v>24820</v>
      </c>
      <c r="S60" s="130">
        <v>5700</v>
      </c>
      <c r="T60" s="90">
        <f t="shared" si="0"/>
        <v>19120</v>
      </c>
      <c r="U60" s="92">
        <f t="shared" si="1"/>
        <v>17381.81818181818</v>
      </c>
      <c r="V60" s="92">
        <f t="shared" si="2"/>
        <v>347636363.63636357</v>
      </c>
      <c r="W60" s="92">
        <f t="shared" si="3"/>
        <v>34763636.36363636</v>
      </c>
      <c r="Y60" s="115"/>
    </row>
    <row r="61" spans="1:25" s="94" customFormat="1" ht="30" customHeight="1">
      <c r="A61" s="85">
        <v>51</v>
      </c>
      <c r="B61" s="86" t="s">
        <v>50</v>
      </c>
      <c r="C61" s="127" t="s">
        <v>43</v>
      </c>
      <c r="D61" s="127" t="s">
        <v>51</v>
      </c>
      <c r="E61" s="127" t="s">
        <v>52</v>
      </c>
      <c r="F61" s="117" t="s">
        <v>49</v>
      </c>
      <c r="G61" s="88">
        <v>46206</v>
      </c>
      <c r="H61" s="87" t="s">
        <v>362</v>
      </c>
      <c r="I61" s="88" t="s">
        <v>364</v>
      </c>
      <c r="J61" s="89" t="s">
        <v>369</v>
      </c>
      <c r="K61" s="89" t="s">
        <v>363</v>
      </c>
      <c r="L61" s="89" t="s">
        <v>338</v>
      </c>
      <c r="M61" s="118" t="s">
        <v>370</v>
      </c>
      <c r="N61" s="90">
        <v>30000</v>
      </c>
      <c r="O61" s="91">
        <v>46204</v>
      </c>
      <c r="P61" s="90" t="s">
        <v>286</v>
      </c>
      <c r="Q61" s="90">
        <v>80</v>
      </c>
      <c r="R61" s="90">
        <v>24820</v>
      </c>
      <c r="S61" s="130">
        <v>5700</v>
      </c>
      <c r="T61" s="90">
        <f t="shared" si="0"/>
        <v>19120</v>
      </c>
      <c r="U61" s="92">
        <f t="shared" si="1"/>
        <v>17381.81818181818</v>
      </c>
      <c r="V61" s="92">
        <f t="shared" si="2"/>
        <v>521454545.45454538</v>
      </c>
      <c r="W61" s="92">
        <f t="shared" si="3"/>
        <v>52145454.545454539</v>
      </c>
      <c r="Y61" s="115"/>
    </row>
    <row r="62" spans="1:25" s="94" customFormat="1" ht="30" customHeight="1">
      <c r="A62" s="85">
        <v>52</v>
      </c>
      <c r="B62" s="86" t="s">
        <v>50</v>
      </c>
      <c r="C62" s="127" t="s">
        <v>43</v>
      </c>
      <c r="D62" s="127" t="s">
        <v>51</v>
      </c>
      <c r="E62" s="127" t="s">
        <v>52</v>
      </c>
      <c r="F62" s="117" t="s">
        <v>49</v>
      </c>
      <c r="G62" s="88">
        <v>46206</v>
      </c>
      <c r="H62" s="87" t="s">
        <v>371</v>
      </c>
      <c r="I62" s="88" t="s">
        <v>365</v>
      </c>
      <c r="J62" s="89" t="s">
        <v>372</v>
      </c>
      <c r="K62" s="89" t="s">
        <v>373</v>
      </c>
      <c r="L62" s="89" t="s">
        <v>338</v>
      </c>
      <c r="M62" s="118" t="s">
        <v>374</v>
      </c>
      <c r="N62" s="90">
        <v>80000</v>
      </c>
      <c r="O62" s="91">
        <v>46204</v>
      </c>
      <c r="P62" s="90" t="s">
        <v>286</v>
      </c>
      <c r="Q62" s="90">
        <v>80</v>
      </c>
      <c r="R62" s="90">
        <v>24820</v>
      </c>
      <c r="S62" s="130">
        <v>5800</v>
      </c>
      <c r="T62" s="90">
        <f t="shared" si="0"/>
        <v>19020</v>
      </c>
      <c r="U62" s="92">
        <f t="shared" si="1"/>
        <v>17290.909090909088</v>
      </c>
      <c r="V62" s="92">
        <f t="shared" si="2"/>
        <v>1383272727.272727</v>
      </c>
      <c r="W62" s="92">
        <f t="shared" si="3"/>
        <v>138327272.72727272</v>
      </c>
      <c r="Y62" s="115"/>
    </row>
    <row r="63" spans="1:25" s="94" customFormat="1" ht="30" customHeight="1">
      <c r="A63" s="85">
        <v>53</v>
      </c>
      <c r="B63" s="86" t="s">
        <v>375</v>
      </c>
      <c r="C63" s="127" t="s">
        <v>43</v>
      </c>
      <c r="D63" s="127" t="s">
        <v>51</v>
      </c>
      <c r="E63" s="127" t="s">
        <v>55</v>
      </c>
      <c r="F63" s="117" t="s">
        <v>376</v>
      </c>
      <c r="G63" s="88">
        <v>46206</v>
      </c>
      <c r="H63" s="87" t="s">
        <v>377</v>
      </c>
      <c r="I63" s="88" t="s">
        <v>366</v>
      </c>
      <c r="J63" s="89" t="s">
        <v>2634</v>
      </c>
      <c r="K63" s="89" t="s">
        <v>378</v>
      </c>
      <c r="L63" s="89" t="s">
        <v>338</v>
      </c>
      <c r="M63" s="118"/>
      <c r="N63" s="90">
        <v>40000</v>
      </c>
      <c r="O63" s="91">
        <v>46204</v>
      </c>
      <c r="P63" s="90" t="s">
        <v>286</v>
      </c>
      <c r="Q63" s="90">
        <v>80</v>
      </c>
      <c r="R63" s="90">
        <v>24880</v>
      </c>
      <c r="S63" s="130">
        <v>5300</v>
      </c>
      <c r="T63" s="90">
        <f t="shared" si="0"/>
        <v>19580</v>
      </c>
      <c r="U63" s="92">
        <f t="shared" si="1"/>
        <v>17799.999999999996</v>
      </c>
      <c r="V63" s="92">
        <f t="shared" si="2"/>
        <v>711999999.99999988</v>
      </c>
      <c r="W63" s="92">
        <f t="shared" si="3"/>
        <v>71199999.999999985</v>
      </c>
      <c r="Y63" s="115"/>
    </row>
    <row r="64" spans="1:25" s="94" customFormat="1" ht="30" customHeight="1">
      <c r="A64" s="85">
        <v>54</v>
      </c>
      <c r="B64" s="86" t="s">
        <v>375</v>
      </c>
      <c r="C64" s="127" t="s">
        <v>43</v>
      </c>
      <c r="D64" s="127" t="s">
        <v>51</v>
      </c>
      <c r="E64" s="127" t="s">
        <v>55</v>
      </c>
      <c r="F64" s="117" t="s">
        <v>376</v>
      </c>
      <c r="G64" s="88">
        <v>46206</v>
      </c>
      <c r="H64" s="87" t="s">
        <v>379</v>
      </c>
      <c r="I64" s="88" t="s">
        <v>367</v>
      </c>
      <c r="J64" s="89" t="s">
        <v>2636</v>
      </c>
      <c r="K64" s="89" t="s">
        <v>378</v>
      </c>
      <c r="L64" s="89" t="s">
        <v>338</v>
      </c>
      <c r="M64" s="118"/>
      <c r="N64" s="90">
        <v>40000</v>
      </c>
      <c r="O64" s="91">
        <v>46204</v>
      </c>
      <c r="P64" s="90" t="s">
        <v>286</v>
      </c>
      <c r="Q64" s="90">
        <v>80</v>
      </c>
      <c r="R64" s="90">
        <v>24880</v>
      </c>
      <c r="S64" s="130">
        <v>5300</v>
      </c>
      <c r="T64" s="90">
        <f t="shared" si="0"/>
        <v>19580</v>
      </c>
      <c r="U64" s="92">
        <f t="shared" si="1"/>
        <v>17799.999999999996</v>
      </c>
      <c r="V64" s="92">
        <f t="shared" si="2"/>
        <v>711999999.99999988</v>
      </c>
      <c r="W64" s="92">
        <f t="shared" si="3"/>
        <v>71199999.999999985</v>
      </c>
      <c r="Y64" s="115"/>
    </row>
    <row r="65" spans="1:25" s="94" customFormat="1" ht="30" customHeight="1">
      <c r="A65" s="85">
        <v>55</v>
      </c>
      <c r="B65" s="86" t="s">
        <v>375</v>
      </c>
      <c r="C65" s="127" t="s">
        <v>43</v>
      </c>
      <c r="D65" s="127" t="s">
        <v>51</v>
      </c>
      <c r="E65" s="127" t="s">
        <v>55</v>
      </c>
      <c r="F65" s="117" t="s">
        <v>376</v>
      </c>
      <c r="G65" s="88">
        <v>46206</v>
      </c>
      <c r="H65" s="87" t="s">
        <v>380</v>
      </c>
      <c r="I65" s="88" t="s">
        <v>368</v>
      </c>
      <c r="J65" s="89" t="s">
        <v>2635</v>
      </c>
      <c r="K65" s="89" t="s">
        <v>378</v>
      </c>
      <c r="L65" s="89" t="s">
        <v>338</v>
      </c>
      <c r="M65" s="118"/>
      <c r="N65" s="90">
        <v>40000</v>
      </c>
      <c r="O65" s="91">
        <v>46204</v>
      </c>
      <c r="P65" s="90" t="s">
        <v>286</v>
      </c>
      <c r="Q65" s="90">
        <v>80</v>
      </c>
      <c r="R65" s="90">
        <v>24880</v>
      </c>
      <c r="S65" s="130">
        <v>5300</v>
      </c>
      <c r="T65" s="90">
        <f t="shared" si="0"/>
        <v>19580</v>
      </c>
      <c r="U65" s="92">
        <f t="shared" si="1"/>
        <v>17799.999999999996</v>
      </c>
      <c r="V65" s="92">
        <f t="shared" si="2"/>
        <v>711999999.99999988</v>
      </c>
      <c r="W65" s="92">
        <f t="shared" si="3"/>
        <v>71199999.999999985</v>
      </c>
      <c r="Y65" s="115"/>
    </row>
    <row r="66" spans="1:25" s="94" customFormat="1" ht="30" customHeight="1">
      <c r="A66" s="85">
        <v>56</v>
      </c>
      <c r="B66" s="86" t="s">
        <v>50</v>
      </c>
      <c r="C66" s="127" t="s">
        <v>43</v>
      </c>
      <c r="D66" s="127" t="s">
        <v>51</v>
      </c>
      <c r="E66" s="127" t="s">
        <v>52</v>
      </c>
      <c r="F66" s="117" t="s">
        <v>49</v>
      </c>
      <c r="G66" s="88">
        <v>46206</v>
      </c>
      <c r="H66" s="87" t="s">
        <v>381</v>
      </c>
      <c r="I66" s="88" t="s">
        <v>382</v>
      </c>
      <c r="J66" s="89" t="s">
        <v>386</v>
      </c>
      <c r="K66" s="89" t="s">
        <v>387</v>
      </c>
      <c r="L66" s="89" t="s">
        <v>339</v>
      </c>
      <c r="M66" s="118" t="s">
        <v>388</v>
      </c>
      <c r="N66" s="90">
        <v>50000</v>
      </c>
      <c r="O66" s="91">
        <v>46204</v>
      </c>
      <c r="P66" s="90" t="s">
        <v>286</v>
      </c>
      <c r="Q66" s="90">
        <v>80</v>
      </c>
      <c r="R66" s="90">
        <v>24820</v>
      </c>
      <c r="S66" s="130">
        <v>5700</v>
      </c>
      <c r="T66" s="90">
        <f t="shared" si="0"/>
        <v>19120</v>
      </c>
      <c r="U66" s="92">
        <f t="shared" si="1"/>
        <v>17381.81818181818</v>
      </c>
      <c r="V66" s="92">
        <f t="shared" si="2"/>
        <v>869090909.090909</v>
      </c>
      <c r="W66" s="92">
        <f t="shared" si="3"/>
        <v>86909090.909090906</v>
      </c>
      <c r="Y66" s="115"/>
    </row>
    <row r="67" spans="1:25" s="94" customFormat="1" ht="30" customHeight="1">
      <c r="A67" s="85">
        <v>57</v>
      </c>
      <c r="B67" s="86" t="s">
        <v>50</v>
      </c>
      <c r="C67" s="127" t="s">
        <v>43</v>
      </c>
      <c r="D67" s="127" t="s">
        <v>51</v>
      </c>
      <c r="E67" s="127" t="s">
        <v>53</v>
      </c>
      <c r="F67" s="117" t="s">
        <v>49</v>
      </c>
      <c r="G67" s="88">
        <v>46206</v>
      </c>
      <c r="H67" s="87" t="s">
        <v>389</v>
      </c>
      <c r="I67" s="88" t="s">
        <v>383</v>
      </c>
      <c r="J67" s="89" t="s">
        <v>2278</v>
      </c>
      <c r="K67" s="89" t="s">
        <v>390</v>
      </c>
      <c r="L67" s="89" t="s">
        <v>339</v>
      </c>
      <c r="M67" s="118" t="s">
        <v>391</v>
      </c>
      <c r="N67" s="90">
        <v>3000</v>
      </c>
      <c r="O67" s="91">
        <v>46204</v>
      </c>
      <c r="P67" s="90" t="s">
        <v>286</v>
      </c>
      <c r="Q67" s="90">
        <v>80</v>
      </c>
      <c r="R67" s="90">
        <v>24850</v>
      </c>
      <c r="S67" s="130">
        <v>5400</v>
      </c>
      <c r="T67" s="90">
        <f t="shared" si="0"/>
        <v>19450</v>
      </c>
      <c r="U67" s="92">
        <f t="shared" si="1"/>
        <v>17681.81818181818</v>
      </c>
      <c r="V67" s="92">
        <f t="shared" si="2"/>
        <v>53045454.545454539</v>
      </c>
      <c r="W67" s="92">
        <f t="shared" si="3"/>
        <v>5304545.4545454541</v>
      </c>
      <c r="Y67" s="115"/>
    </row>
    <row r="68" spans="1:25" s="94" customFormat="1" ht="30" customHeight="1">
      <c r="A68" s="85">
        <v>58</v>
      </c>
      <c r="B68" s="86" t="s">
        <v>50</v>
      </c>
      <c r="C68" s="127" t="s">
        <v>43</v>
      </c>
      <c r="D68" s="127" t="s">
        <v>51</v>
      </c>
      <c r="E68" s="127" t="s">
        <v>55</v>
      </c>
      <c r="F68" s="117" t="s">
        <v>49</v>
      </c>
      <c r="G68" s="88">
        <v>46206</v>
      </c>
      <c r="H68" s="87" t="s">
        <v>392</v>
      </c>
      <c r="I68" s="88" t="s">
        <v>384</v>
      </c>
      <c r="J68" s="89" t="s">
        <v>2637</v>
      </c>
      <c r="K68" s="89" t="s">
        <v>393</v>
      </c>
      <c r="L68" s="89" t="s">
        <v>339</v>
      </c>
      <c r="M68" s="118" t="s">
        <v>394</v>
      </c>
      <c r="N68" s="90">
        <v>40000</v>
      </c>
      <c r="O68" s="91">
        <v>46204</v>
      </c>
      <c r="P68" s="90" t="s">
        <v>286</v>
      </c>
      <c r="Q68" s="90">
        <v>80</v>
      </c>
      <c r="R68" s="90">
        <v>24880</v>
      </c>
      <c r="S68" s="130">
        <v>5800</v>
      </c>
      <c r="T68" s="90">
        <f t="shared" si="0"/>
        <v>19080</v>
      </c>
      <c r="U68" s="92">
        <f t="shared" si="1"/>
        <v>17345.454545454544</v>
      </c>
      <c r="V68" s="92">
        <f t="shared" si="2"/>
        <v>693818181.81818175</v>
      </c>
      <c r="W68" s="92">
        <f t="shared" si="3"/>
        <v>69381818.181818172</v>
      </c>
      <c r="Y68" s="115"/>
    </row>
    <row r="69" spans="1:25" s="94" customFormat="1" ht="30" customHeight="1">
      <c r="A69" s="85">
        <v>59</v>
      </c>
      <c r="B69" s="86" t="s">
        <v>50</v>
      </c>
      <c r="C69" s="127" t="s">
        <v>43</v>
      </c>
      <c r="D69" s="127" t="s">
        <v>51</v>
      </c>
      <c r="E69" s="127" t="s">
        <v>54</v>
      </c>
      <c r="F69" s="117" t="s">
        <v>49</v>
      </c>
      <c r="G69" s="88">
        <v>46206</v>
      </c>
      <c r="H69" s="87" t="s">
        <v>395</v>
      </c>
      <c r="I69" s="88" t="s">
        <v>385</v>
      </c>
      <c r="J69" s="89" t="s">
        <v>2476</v>
      </c>
      <c r="K69" s="89" t="s">
        <v>396</v>
      </c>
      <c r="L69" s="89" t="s">
        <v>339</v>
      </c>
      <c r="M69" s="118" t="s">
        <v>397</v>
      </c>
      <c r="N69" s="90">
        <v>20000</v>
      </c>
      <c r="O69" s="91">
        <v>46204</v>
      </c>
      <c r="P69" s="90" t="s">
        <v>286</v>
      </c>
      <c r="Q69" s="90">
        <v>80</v>
      </c>
      <c r="R69" s="90">
        <v>25330</v>
      </c>
      <c r="S69" s="130">
        <v>5300</v>
      </c>
      <c r="T69" s="90">
        <f t="shared" si="0"/>
        <v>20030</v>
      </c>
      <c r="U69" s="92">
        <f t="shared" si="1"/>
        <v>18209.090909090904</v>
      </c>
      <c r="V69" s="92">
        <f t="shared" si="2"/>
        <v>364181818.18181813</v>
      </c>
      <c r="W69" s="92">
        <f t="shared" si="3"/>
        <v>36418181.818181813</v>
      </c>
      <c r="Y69" s="115"/>
    </row>
    <row r="70" spans="1:25" s="94" customFormat="1" ht="30" customHeight="1">
      <c r="A70" s="85">
        <v>60</v>
      </c>
      <c r="B70" s="86" t="s">
        <v>50</v>
      </c>
      <c r="C70" s="127" t="s">
        <v>43</v>
      </c>
      <c r="D70" s="127" t="s">
        <v>51</v>
      </c>
      <c r="E70" s="127" t="s">
        <v>61</v>
      </c>
      <c r="F70" s="117" t="s">
        <v>49</v>
      </c>
      <c r="G70" s="88">
        <v>46206</v>
      </c>
      <c r="H70" s="87" t="s">
        <v>398</v>
      </c>
      <c r="I70" s="88" t="s">
        <v>399</v>
      </c>
      <c r="J70" s="89" t="s">
        <v>2430</v>
      </c>
      <c r="K70" s="89" t="s">
        <v>406</v>
      </c>
      <c r="L70" s="89" t="s">
        <v>338</v>
      </c>
      <c r="M70" s="118" t="s">
        <v>407</v>
      </c>
      <c r="N70" s="90">
        <v>60000</v>
      </c>
      <c r="O70" s="91">
        <v>46204</v>
      </c>
      <c r="P70" s="90" t="s">
        <v>286</v>
      </c>
      <c r="Q70" s="90">
        <v>80</v>
      </c>
      <c r="R70" s="90">
        <v>25320</v>
      </c>
      <c r="S70" s="130">
        <v>4636</v>
      </c>
      <c r="T70" s="90">
        <f t="shared" si="0"/>
        <v>20684</v>
      </c>
      <c r="U70" s="92">
        <f t="shared" si="1"/>
        <v>18803.63636363636</v>
      </c>
      <c r="V70" s="92">
        <f t="shared" si="2"/>
        <v>1128218181.8181818</v>
      </c>
      <c r="W70" s="92">
        <f t="shared" si="3"/>
        <v>112821818.18181819</v>
      </c>
      <c r="Y70" s="115"/>
    </row>
    <row r="71" spans="1:25" s="94" customFormat="1" ht="30" customHeight="1">
      <c r="A71" s="85">
        <v>61</v>
      </c>
      <c r="B71" s="86" t="s">
        <v>50</v>
      </c>
      <c r="C71" s="127" t="s">
        <v>43</v>
      </c>
      <c r="D71" s="127" t="s">
        <v>51</v>
      </c>
      <c r="E71" s="127" t="s">
        <v>55</v>
      </c>
      <c r="F71" s="117" t="s">
        <v>49</v>
      </c>
      <c r="G71" s="88">
        <v>46206</v>
      </c>
      <c r="H71" s="87" t="s">
        <v>408</v>
      </c>
      <c r="I71" s="88" t="s">
        <v>400</v>
      </c>
      <c r="J71" s="89" t="s">
        <v>2633</v>
      </c>
      <c r="K71" s="89" t="s">
        <v>409</v>
      </c>
      <c r="L71" s="89" t="s">
        <v>338</v>
      </c>
      <c r="M71" s="118" t="s">
        <v>410</v>
      </c>
      <c r="N71" s="90">
        <v>20000</v>
      </c>
      <c r="O71" s="91">
        <v>46204</v>
      </c>
      <c r="P71" s="90" t="s">
        <v>286</v>
      </c>
      <c r="Q71" s="90">
        <v>80</v>
      </c>
      <c r="R71" s="90">
        <v>24880</v>
      </c>
      <c r="S71" s="130">
        <v>5700</v>
      </c>
      <c r="T71" s="90">
        <f t="shared" si="0"/>
        <v>19180</v>
      </c>
      <c r="U71" s="92">
        <f t="shared" si="1"/>
        <v>17436.363636363632</v>
      </c>
      <c r="V71" s="92">
        <f t="shared" si="2"/>
        <v>348727272.72727269</v>
      </c>
      <c r="W71" s="92">
        <f t="shared" si="3"/>
        <v>34872727.272727273</v>
      </c>
      <c r="Y71" s="115"/>
    </row>
    <row r="72" spans="1:25" s="94" customFormat="1" ht="30" customHeight="1">
      <c r="A72" s="85">
        <v>62</v>
      </c>
      <c r="B72" s="86" t="s">
        <v>412</v>
      </c>
      <c r="C72" s="127" t="s">
        <v>43</v>
      </c>
      <c r="D72" s="127" t="s">
        <v>51</v>
      </c>
      <c r="E72" s="127" t="s">
        <v>52</v>
      </c>
      <c r="F72" s="117" t="s">
        <v>414</v>
      </c>
      <c r="G72" s="88">
        <v>46206</v>
      </c>
      <c r="H72" s="87" t="s">
        <v>415</v>
      </c>
      <c r="I72" s="88" t="s">
        <v>401</v>
      </c>
      <c r="J72" s="89" t="s">
        <v>416</v>
      </c>
      <c r="K72" s="89" t="s">
        <v>417</v>
      </c>
      <c r="L72" s="89" t="s">
        <v>338</v>
      </c>
      <c r="M72" s="118" t="s">
        <v>435</v>
      </c>
      <c r="N72" s="90">
        <v>40000</v>
      </c>
      <c r="O72" s="91">
        <v>46204</v>
      </c>
      <c r="P72" s="90" t="s">
        <v>286</v>
      </c>
      <c r="Q72" s="90">
        <v>80</v>
      </c>
      <c r="R72" s="90">
        <v>24560</v>
      </c>
      <c r="S72" s="130">
        <v>5300</v>
      </c>
      <c r="T72" s="90">
        <f t="shared" si="0"/>
        <v>19260</v>
      </c>
      <c r="U72" s="92">
        <f t="shared" si="1"/>
        <v>17509.090909090908</v>
      </c>
      <c r="V72" s="92">
        <f t="shared" si="2"/>
        <v>700363636.36363626</v>
      </c>
      <c r="W72" s="92">
        <f t="shared" si="3"/>
        <v>70036363.636363626</v>
      </c>
      <c r="Y72" s="115"/>
    </row>
    <row r="73" spans="1:25" s="94" customFormat="1" ht="30" customHeight="1">
      <c r="A73" s="85">
        <v>63</v>
      </c>
      <c r="B73" s="86" t="s">
        <v>50</v>
      </c>
      <c r="C73" s="127" t="s">
        <v>43</v>
      </c>
      <c r="D73" s="127" t="s">
        <v>51</v>
      </c>
      <c r="E73" s="127" t="s">
        <v>52</v>
      </c>
      <c r="F73" s="117" t="s">
        <v>49</v>
      </c>
      <c r="G73" s="88">
        <v>46206</v>
      </c>
      <c r="H73" s="87" t="s">
        <v>418</v>
      </c>
      <c r="I73" s="88" t="s">
        <v>402</v>
      </c>
      <c r="J73" s="89" t="s">
        <v>419</v>
      </c>
      <c r="K73" s="89" t="s">
        <v>420</v>
      </c>
      <c r="L73" s="89" t="s">
        <v>338</v>
      </c>
      <c r="M73" s="118" t="s">
        <v>421</v>
      </c>
      <c r="N73" s="90">
        <v>40000</v>
      </c>
      <c r="O73" s="91">
        <v>46204</v>
      </c>
      <c r="P73" s="90" t="s">
        <v>286</v>
      </c>
      <c r="Q73" s="90">
        <v>80</v>
      </c>
      <c r="R73" s="90">
        <v>24820</v>
      </c>
      <c r="S73" s="130">
        <v>5700</v>
      </c>
      <c r="T73" s="90">
        <f t="shared" si="0"/>
        <v>19120</v>
      </c>
      <c r="U73" s="92">
        <f t="shared" si="1"/>
        <v>17381.81818181818</v>
      </c>
      <c r="V73" s="92">
        <f t="shared" si="2"/>
        <v>695272727.27272713</v>
      </c>
      <c r="W73" s="92">
        <f t="shared" si="3"/>
        <v>69527272.727272719</v>
      </c>
      <c r="Y73" s="115"/>
    </row>
    <row r="74" spans="1:25" s="94" customFormat="1" ht="30" customHeight="1">
      <c r="A74" s="85">
        <v>64</v>
      </c>
      <c r="B74" s="86" t="s">
        <v>422</v>
      </c>
      <c r="C74" s="127" t="s">
        <v>43</v>
      </c>
      <c r="D74" s="127" t="s">
        <v>51</v>
      </c>
      <c r="E74" s="127" t="s">
        <v>55</v>
      </c>
      <c r="F74" s="117" t="s">
        <v>423</v>
      </c>
      <c r="G74" s="88">
        <v>46206</v>
      </c>
      <c r="H74" s="87" t="s">
        <v>424</v>
      </c>
      <c r="I74" s="88" t="s">
        <v>403</v>
      </c>
      <c r="J74" s="89" t="s">
        <v>2632</v>
      </c>
      <c r="K74" s="89" t="s">
        <v>434</v>
      </c>
      <c r="L74" s="89" t="s">
        <v>338</v>
      </c>
      <c r="M74" s="118" t="s">
        <v>436</v>
      </c>
      <c r="N74" s="90">
        <v>40000</v>
      </c>
      <c r="O74" s="91">
        <v>46204</v>
      </c>
      <c r="P74" s="90" t="s">
        <v>286</v>
      </c>
      <c r="Q74" s="90">
        <v>80</v>
      </c>
      <c r="R74" s="90">
        <v>24880</v>
      </c>
      <c r="S74" s="130">
        <v>5400</v>
      </c>
      <c r="T74" s="90">
        <f t="shared" si="0"/>
        <v>19480</v>
      </c>
      <c r="U74" s="92">
        <f t="shared" si="1"/>
        <v>17709.090909090908</v>
      </c>
      <c r="V74" s="92">
        <f t="shared" si="2"/>
        <v>708363636.36363626</v>
      </c>
      <c r="W74" s="92">
        <f t="shared" si="3"/>
        <v>70836363.636363626</v>
      </c>
      <c r="Y74" s="115"/>
    </row>
    <row r="75" spans="1:25" s="94" customFormat="1" ht="30" customHeight="1">
      <c r="A75" s="85">
        <v>65</v>
      </c>
      <c r="B75" s="86" t="s">
        <v>422</v>
      </c>
      <c r="C75" s="127" t="s">
        <v>43</v>
      </c>
      <c r="D75" s="127" t="s">
        <v>51</v>
      </c>
      <c r="E75" s="127" t="s">
        <v>55</v>
      </c>
      <c r="F75" s="117" t="s">
        <v>423</v>
      </c>
      <c r="G75" s="88">
        <v>46206</v>
      </c>
      <c r="H75" s="87" t="s">
        <v>425</v>
      </c>
      <c r="I75" s="88" t="s">
        <v>404</v>
      </c>
      <c r="J75" s="89" t="s">
        <v>2631</v>
      </c>
      <c r="K75" s="89" t="s">
        <v>434</v>
      </c>
      <c r="L75" s="89" t="s">
        <v>338</v>
      </c>
      <c r="M75" s="118" t="s">
        <v>436</v>
      </c>
      <c r="N75" s="90">
        <v>40000</v>
      </c>
      <c r="O75" s="91">
        <v>46204</v>
      </c>
      <c r="P75" s="90" t="s">
        <v>286</v>
      </c>
      <c r="Q75" s="90">
        <v>80</v>
      </c>
      <c r="R75" s="90">
        <v>24880</v>
      </c>
      <c r="S75" s="130">
        <v>5400</v>
      </c>
      <c r="T75" s="90">
        <f t="shared" ref="T75:T138" si="4">+R75-S75</f>
        <v>19480</v>
      </c>
      <c r="U75" s="92">
        <f t="shared" ref="U75:U138" si="5">+T75*0.909090909090909</f>
        <v>17709.090909090908</v>
      </c>
      <c r="V75" s="92">
        <f t="shared" ref="V75:V138" si="6">+N75*T75*0.909090909090909</f>
        <v>708363636.36363626</v>
      </c>
      <c r="W75" s="92">
        <f t="shared" ref="W75:W138" si="7">+V75*10%</f>
        <v>70836363.636363626</v>
      </c>
      <c r="Y75" s="115"/>
    </row>
    <row r="76" spans="1:25" s="94" customFormat="1" ht="30" customHeight="1">
      <c r="A76" s="85">
        <v>66</v>
      </c>
      <c r="B76" s="86" t="s">
        <v>422</v>
      </c>
      <c r="C76" s="127" t="s">
        <v>43</v>
      </c>
      <c r="D76" s="127" t="s">
        <v>51</v>
      </c>
      <c r="E76" s="127" t="s">
        <v>55</v>
      </c>
      <c r="F76" s="117" t="s">
        <v>423</v>
      </c>
      <c r="G76" s="88">
        <v>46206</v>
      </c>
      <c r="H76" s="87" t="s">
        <v>426</v>
      </c>
      <c r="I76" s="88" t="s">
        <v>405</v>
      </c>
      <c r="J76" s="89" t="s">
        <v>2630</v>
      </c>
      <c r="K76" s="89" t="s">
        <v>434</v>
      </c>
      <c r="L76" s="89" t="s">
        <v>338</v>
      </c>
      <c r="M76" s="118" t="s">
        <v>436</v>
      </c>
      <c r="N76" s="90">
        <v>40000</v>
      </c>
      <c r="O76" s="91">
        <v>46204</v>
      </c>
      <c r="P76" s="90" t="s">
        <v>286</v>
      </c>
      <c r="Q76" s="90">
        <v>80</v>
      </c>
      <c r="R76" s="90">
        <v>24880</v>
      </c>
      <c r="S76" s="130">
        <v>5400</v>
      </c>
      <c r="T76" s="90">
        <f t="shared" si="4"/>
        <v>19480</v>
      </c>
      <c r="U76" s="92">
        <f t="shared" si="5"/>
        <v>17709.090909090908</v>
      </c>
      <c r="V76" s="92">
        <f t="shared" si="6"/>
        <v>708363636.36363626</v>
      </c>
      <c r="W76" s="92">
        <f t="shared" si="7"/>
        <v>70836363.636363626</v>
      </c>
      <c r="Y76" s="115"/>
    </row>
    <row r="77" spans="1:25" s="94" customFormat="1" ht="30" customHeight="1">
      <c r="A77" s="85">
        <v>67</v>
      </c>
      <c r="B77" s="86" t="s">
        <v>422</v>
      </c>
      <c r="C77" s="127" t="s">
        <v>43</v>
      </c>
      <c r="D77" s="127" t="s">
        <v>51</v>
      </c>
      <c r="E77" s="127" t="s">
        <v>55</v>
      </c>
      <c r="F77" s="117" t="s">
        <v>423</v>
      </c>
      <c r="G77" s="88">
        <v>46206</v>
      </c>
      <c r="H77" s="87" t="s">
        <v>427</v>
      </c>
      <c r="I77" s="88" t="s">
        <v>429</v>
      </c>
      <c r="J77" s="89" t="s">
        <v>2629</v>
      </c>
      <c r="K77" s="89" t="s">
        <v>434</v>
      </c>
      <c r="L77" s="89" t="s">
        <v>338</v>
      </c>
      <c r="M77" s="118" t="s">
        <v>436</v>
      </c>
      <c r="N77" s="90">
        <v>40000</v>
      </c>
      <c r="O77" s="91">
        <v>46204</v>
      </c>
      <c r="P77" s="90" t="s">
        <v>286</v>
      </c>
      <c r="Q77" s="90">
        <v>80</v>
      </c>
      <c r="R77" s="90">
        <v>24880</v>
      </c>
      <c r="S77" s="130">
        <v>5400</v>
      </c>
      <c r="T77" s="90">
        <f t="shared" si="4"/>
        <v>19480</v>
      </c>
      <c r="U77" s="92">
        <f t="shared" si="5"/>
        <v>17709.090909090908</v>
      </c>
      <c r="V77" s="92">
        <f t="shared" si="6"/>
        <v>708363636.36363626</v>
      </c>
      <c r="W77" s="92">
        <f t="shared" si="7"/>
        <v>70836363.636363626</v>
      </c>
      <c r="Y77" s="115"/>
    </row>
    <row r="78" spans="1:25" s="94" customFormat="1" ht="30" customHeight="1">
      <c r="A78" s="85">
        <v>68</v>
      </c>
      <c r="B78" s="86" t="s">
        <v>422</v>
      </c>
      <c r="C78" s="127" t="s">
        <v>43</v>
      </c>
      <c r="D78" s="127" t="s">
        <v>51</v>
      </c>
      <c r="E78" s="127" t="s">
        <v>55</v>
      </c>
      <c r="F78" s="117" t="s">
        <v>423</v>
      </c>
      <c r="G78" s="88">
        <v>46206</v>
      </c>
      <c r="H78" s="87" t="s">
        <v>428</v>
      </c>
      <c r="I78" s="88" t="s">
        <v>430</v>
      </c>
      <c r="J78" s="89" t="s">
        <v>2628</v>
      </c>
      <c r="K78" s="89" t="s">
        <v>434</v>
      </c>
      <c r="L78" s="89" t="s">
        <v>338</v>
      </c>
      <c r="M78" s="118" t="s">
        <v>436</v>
      </c>
      <c r="N78" s="90">
        <v>40000</v>
      </c>
      <c r="O78" s="91">
        <v>46204</v>
      </c>
      <c r="P78" s="90" t="s">
        <v>286</v>
      </c>
      <c r="Q78" s="90">
        <v>80</v>
      </c>
      <c r="R78" s="90">
        <v>24880</v>
      </c>
      <c r="S78" s="130">
        <v>5400</v>
      </c>
      <c r="T78" s="90">
        <f t="shared" si="4"/>
        <v>19480</v>
      </c>
      <c r="U78" s="92">
        <f t="shared" si="5"/>
        <v>17709.090909090908</v>
      </c>
      <c r="V78" s="92">
        <f t="shared" si="6"/>
        <v>708363636.36363626</v>
      </c>
      <c r="W78" s="92">
        <f t="shared" si="7"/>
        <v>70836363.636363626</v>
      </c>
      <c r="Y78" s="115"/>
    </row>
    <row r="79" spans="1:25" s="94" customFormat="1" ht="30" customHeight="1">
      <c r="A79" s="85">
        <v>69</v>
      </c>
      <c r="B79" s="86" t="s">
        <v>50</v>
      </c>
      <c r="C79" s="127" t="s">
        <v>43</v>
      </c>
      <c r="D79" s="127" t="s">
        <v>51</v>
      </c>
      <c r="E79" s="127" t="s">
        <v>52</v>
      </c>
      <c r="F79" s="117" t="s">
        <v>49</v>
      </c>
      <c r="G79" s="88">
        <v>46206</v>
      </c>
      <c r="H79" s="87" t="s">
        <v>437</v>
      </c>
      <c r="I79" s="88" t="s">
        <v>431</v>
      </c>
      <c r="J79" s="89" t="s">
        <v>438</v>
      </c>
      <c r="K79" s="89" t="s">
        <v>439</v>
      </c>
      <c r="L79" s="89" t="s">
        <v>338</v>
      </c>
      <c r="M79" s="118" t="s">
        <v>440</v>
      </c>
      <c r="N79" s="90">
        <v>70000</v>
      </c>
      <c r="O79" s="91">
        <v>46204</v>
      </c>
      <c r="P79" s="90" t="s">
        <v>286</v>
      </c>
      <c r="Q79" s="90">
        <v>80</v>
      </c>
      <c r="R79" s="90">
        <v>24820</v>
      </c>
      <c r="S79" s="130">
        <v>5800</v>
      </c>
      <c r="T79" s="90">
        <f t="shared" si="4"/>
        <v>19020</v>
      </c>
      <c r="U79" s="92">
        <f t="shared" si="5"/>
        <v>17290.909090909088</v>
      </c>
      <c r="V79" s="92">
        <f t="shared" si="6"/>
        <v>1210363636.3636363</v>
      </c>
      <c r="W79" s="92">
        <f t="shared" si="7"/>
        <v>121036363.63636363</v>
      </c>
      <c r="Y79" s="115"/>
    </row>
    <row r="80" spans="1:25" s="94" customFormat="1" ht="30" customHeight="1">
      <c r="A80" s="85">
        <v>70</v>
      </c>
      <c r="B80" s="86" t="s">
        <v>412</v>
      </c>
      <c r="C80" s="127" t="s">
        <v>43</v>
      </c>
      <c r="D80" s="127" t="s">
        <v>51</v>
      </c>
      <c r="E80" s="127" t="s">
        <v>52</v>
      </c>
      <c r="F80" s="117" t="s">
        <v>414</v>
      </c>
      <c r="G80" s="88">
        <v>46206</v>
      </c>
      <c r="H80" s="87" t="s">
        <v>441</v>
      </c>
      <c r="I80" s="88" t="s">
        <v>432</v>
      </c>
      <c r="J80" s="89" t="s">
        <v>442</v>
      </c>
      <c r="K80" s="89" t="s">
        <v>434</v>
      </c>
      <c r="L80" s="89" t="s">
        <v>338</v>
      </c>
      <c r="M80" s="118" t="s">
        <v>435</v>
      </c>
      <c r="N80" s="90">
        <v>40000</v>
      </c>
      <c r="O80" s="91">
        <v>46204</v>
      </c>
      <c r="P80" s="90" t="s">
        <v>286</v>
      </c>
      <c r="Q80" s="90">
        <v>80</v>
      </c>
      <c r="R80" s="90">
        <v>24560</v>
      </c>
      <c r="S80" s="130">
        <v>5300</v>
      </c>
      <c r="T80" s="90">
        <f t="shared" si="4"/>
        <v>19260</v>
      </c>
      <c r="U80" s="92">
        <f t="shared" si="5"/>
        <v>17509.090909090908</v>
      </c>
      <c r="V80" s="92">
        <f t="shared" si="6"/>
        <v>700363636.36363626</v>
      </c>
      <c r="W80" s="92">
        <f t="shared" si="7"/>
        <v>70036363.636363626</v>
      </c>
      <c r="Y80" s="115"/>
    </row>
    <row r="81" spans="1:25" s="94" customFormat="1" ht="30" customHeight="1">
      <c r="A81" s="85">
        <v>71</v>
      </c>
      <c r="B81" s="86" t="s">
        <v>50</v>
      </c>
      <c r="C81" s="127" t="s">
        <v>43</v>
      </c>
      <c r="D81" s="127" t="s">
        <v>51</v>
      </c>
      <c r="E81" s="127" t="s">
        <v>52</v>
      </c>
      <c r="F81" s="117" t="s">
        <v>49</v>
      </c>
      <c r="G81" s="88">
        <v>46206</v>
      </c>
      <c r="H81" s="87" t="s">
        <v>443</v>
      </c>
      <c r="I81" s="88" t="s">
        <v>433</v>
      </c>
      <c r="J81" s="89" t="s">
        <v>444</v>
      </c>
      <c r="K81" s="89" t="s">
        <v>434</v>
      </c>
      <c r="L81" s="89" t="s">
        <v>338</v>
      </c>
      <c r="M81" s="118" t="s">
        <v>445</v>
      </c>
      <c r="N81" s="90">
        <v>20000</v>
      </c>
      <c r="O81" s="91">
        <v>46204</v>
      </c>
      <c r="P81" s="90" t="s">
        <v>286</v>
      </c>
      <c r="Q81" s="90">
        <v>80</v>
      </c>
      <c r="R81" s="90">
        <v>24820</v>
      </c>
      <c r="S81" s="130">
        <v>5600</v>
      </c>
      <c r="T81" s="90">
        <f t="shared" si="4"/>
        <v>19220</v>
      </c>
      <c r="U81" s="92">
        <f t="shared" si="5"/>
        <v>17472.727272727268</v>
      </c>
      <c r="V81" s="92">
        <f t="shared" si="6"/>
        <v>349454545.45454538</v>
      </c>
      <c r="W81" s="92">
        <f t="shared" si="7"/>
        <v>34945454.545454539</v>
      </c>
      <c r="Y81" s="115"/>
    </row>
    <row r="82" spans="1:25" s="94" customFormat="1" ht="30" customHeight="1">
      <c r="A82" s="85">
        <v>72</v>
      </c>
      <c r="B82" s="86" t="s">
        <v>50</v>
      </c>
      <c r="C82" s="127" t="s">
        <v>43</v>
      </c>
      <c r="D82" s="127" t="s">
        <v>51</v>
      </c>
      <c r="E82" s="127" t="s">
        <v>52</v>
      </c>
      <c r="F82" s="117" t="s">
        <v>49</v>
      </c>
      <c r="G82" s="88">
        <v>46206</v>
      </c>
      <c r="H82" s="87" t="s">
        <v>446</v>
      </c>
      <c r="I82" s="88" t="s">
        <v>447</v>
      </c>
      <c r="J82" s="89" t="s">
        <v>452</v>
      </c>
      <c r="K82" s="89" t="s">
        <v>453</v>
      </c>
      <c r="L82" s="89" t="s">
        <v>339</v>
      </c>
      <c r="M82" s="118" t="s">
        <v>454</v>
      </c>
      <c r="N82" s="90">
        <v>50000</v>
      </c>
      <c r="O82" s="91">
        <v>46204</v>
      </c>
      <c r="P82" s="90" t="s">
        <v>286</v>
      </c>
      <c r="Q82" s="90">
        <v>80</v>
      </c>
      <c r="R82" s="90">
        <v>24820</v>
      </c>
      <c r="S82" s="130">
        <v>400</v>
      </c>
      <c r="T82" s="90">
        <f t="shared" si="4"/>
        <v>24420</v>
      </c>
      <c r="U82" s="92">
        <f t="shared" si="5"/>
        <v>22199.999999999996</v>
      </c>
      <c r="V82" s="92">
        <f t="shared" si="6"/>
        <v>1109999999.9999998</v>
      </c>
      <c r="W82" s="92">
        <f t="shared" si="7"/>
        <v>110999999.99999999</v>
      </c>
      <c r="Y82" s="115"/>
    </row>
    <row r="83" spans="1:25" s="94" customFormat="1" ht="30" customHeight="1">
      <c r="A83" s="85">
        <v>73</v>
      </c>
      <c r="B83" s="86" t="s">
        <v>50</v>
      </c>
      <c r="C83" s="127" t="s">
        <v>43</v>
      </c>
      <c r="D83" s="127" t="s">
        <v>51</v>
      </c>
      <c r="E83" s="127" t="s">
        <v>52</v>
      </c>
      <c r="F83" s="117" t="s">
        <v>49</v>
      </c>
      <c r="G83" s="88">
        <v>46206</v>
      </c>
      <c r="H83" s="87" t="s">
        <v>455</v>
      </c>
      <c r="I83" s="88" t="s">
        <v>448</v>
      </c>
      <c r="J83" s="89" t="s">
        <v>456</v>
      </c>
      <c r="K83" s="89" t="s">
        <v>457</v>
      </c>
      <c r="L83" s="89" t="s">
        <v>339</v>
      </c>
      <c r="M83" s="118" t="s">
        <v>458</v>
      </c>
      <c r="N83" s="90">
        <v>20000</v>
      </c>
      <c r="O83" s="91">
        <v>46204</v>
      </c>
      <c r="P83" s="90" t="s">
        <v>286</v>
      </c>
      <c r="Q83" s="90">
        <v>80</v>
      </c>
      <c r="R83" s="90">
        <v>24820</v>
      </c>
      <c r="S83" s="130">
        <v>5700</v>
      </c>
      <c r="T83" s="90">
        <f t="shared" si="4"/>
        <v>19120</v>
      </c>
      <c r="U83" s="92">
        <f t="shared" si="5"/>
        <v>17381.81818181818</v>
      </c>
      <c r="V83" s="92">
        <f t="shared" si="6"/>
        <v>347636363.63636357</v>
      </c>
      <c r="W83" s="92">
        <f t="shared" si="7"/>
        <v>34763636.36363636</v>
      </c>
      <c r="Y83" s="115"/>
    </row>
    <row r="84" spans="1:25" s="94" customFormat="1" ht="30" customHeight="1">
      <c r="A84" s="85">
        <v>74</v>
      </c>
      <c r="B84" s="86" t="s">
        <v>50</v>
      </c>
      <c r="C84" s="127" t="s">
        <v>43</v>
      </c>
      <c r="D84" s="127" t="s">
        <v>51</v>
      </c>
      <c r="E84" s="127" t="s">
        <v>52</v>
      </c>
      <c r="F84" s="117" t="s">
        <v>49</v>
      </c>
      <c r="G84" s="88">
        <v>46206</v>
      </c>
      <c r="H84" s="87" t="s">
        <v>459</v>
      </c>
      <c r="I84" s="88" t="s">
        <v>449</v>
      </c>
      <c r="J84" s="89" t="s">
        <v>460</v>
      </c>
      <c r="K84" s="89" t="s">
        <v>461</v>
      </c>
      <c r="L84" s="89" t="s">
        <v>339</v>
      </c>
      <c r="M84" s="118" t="s">
        <v>462</v>
      </c>
      <c r="N84" s="90">
        <v>30000</v>
      </c>
      <c r="O84" s="91">
        <v>46204</v>
      </c>
      <c r="P84" s="90" t="s">
        <v>286</v>
      </c>
      <c r="Q84" s="90">
        <v>80</v>
      </c>
      <c r="R84" s="90">
        <v>24560</v>
      </c>
      <c r="S84" s="130">
        <v>5500</v>
      </c>
      <c r="T84" s="90">
        <f t="shared" si="4"/>
        <v>19060</v>
      </c>
      <c r="U84" s="92">
        <f t="shared" si="5"/>
        <v>17327.272727272724</v>
      </c>
      <c r="V84" s="92">
        <f t="shared" si="6"/>
        <v>519818181.81818175</v>
      </c>
      <c r="W84" s="92">
        <f t="shared" si="7"/>
        <v>51981818.18181818</v>
      </c>
      <c r="Y84" s="115"/>
    </row>
    <row r="85" spans="1:25" s="94" customFormat="1" ht="30" customHeight="1">
      <c r="A85" s="85">
        <v>75</v>
      </c>
      <c r="B85" s="86" t="s">
        <v>50</v>
      </c>
      <c r="C85" s="127" t="s">
        <v>43</v>
      </c>
      <c r="D85" s="127" t="s">
        <v>51</v>
      </c>
      <c r="E85" s="127" t="s">
        <v>52</v>
      </c>
      <c r="F85" s="117" t="s">
        <v>49</v>
      </c>
      <c r="G85" s="88">
        <v>46206</v>
      </c>
      <c r="H85" s="87" t="s">
        <v>463</v>
      </c>
      <c r="I85" s="88" t="s">
        <v>450</v>
      </c>
      <c r="J85" s="89" t="s">
        <v>464</v>
      </c>
      <c r="K85" s="89" t="s">
        <v>465</v>
      </c>
      <c r="L85" s="89" t="s">
        <v>339</v>
      </c>
      <c r="M85" s="118" t="s">
        <v>466</v>
      </c>
      <c r="N85" s="90">
        <v>10000</v>
      </c>
      <c r="O85" s="91">
        <v>46204</v>
      </c>
      <c r="P85" s="90" t="s">
        <v>286</v>
      </c>
      <c r="Q85" s="90">
        <v>80</v>
      </c>
      <c r="R85" s="90">
        <v>24820</v>
      </c>
      <c r="S85" s="130">
        <v>5700</v>
      </c>
      <c r="T85" s="90">
        <f t="shared" si="4"/>
        <v>19120</v>
      </c>
      <c r="U85" s="92">
        <f t="shared" si="5"/>
        <v>17381.81818181818</v>
      </c>
      <c r="V85" s="92">
        <f t="shared" si="6"/>
        <v>173818181.81818178</v>
      </c>
      <c r="W85" s="92">
        <f t="shared" si="7"/>
        <v>17381818.18181818</v>
      </c>
      <c r="Y85" s="115"/>
    </row>
    <row r="86" spans="1:25" s="94" customFormat="1" ht="30" customHeight="1">
      <c r="A86" s="85">
        <v>76</v>
      </c>
      <c r="B86" s="86" t="s">
        <v>50</v>
      </c>
      <c r="C86" s="127" t="s">
        <v>43</v>
      </c>
      <c r="D86" s="127" t="s">
        <v>51</v>
      </c>
      <c r="E86" s="127" t="s">
        <v>54</v>
      </c>
      <c r="F86" s="117" t="s">
        <v>49</v>
      </c>
      <c r="G86" s="88">
        <v>46206</v>
      </c>
      <c r="H86" s="87" t="s">
        <v>467</v>
      </c>
      <c r="I86" s="88" t="s">
        <v>451</v>
      </c>
      <c r="J86" s="89" t="s">
        <v>2477</v>
      </c>
      <c r="K86" s="89" t="s">
        <v>468</v>
      </c>
      <c r="L86" s="89" t="s">
        <v>339</v>
      </c>
      <c r="M86" s="118" t="s">
        <v>469</v>
      </c>
      <c r="N86" s="90">
        <v>14000</v>
      </c>
      <c r="O86" s="91">
        <v>46204</v>
      </c>
      <c r="P86" s="90" t="s">
        <v>286</v>
      </c>
      <c r="Q86" s="90">
        <v>80</v>
      </c>
      <c r="R86" s="90">
        <v>25330</v>
      </c>
      <c r="S86" s="130">
        <v>1153</v>
      </c>
      <c r="T86" s="90">
        <f t="shared" si="4"/>
        <v>24177</v>
      </c>
      <c r="U86" s="92">
        <f t="shared" si="5"/>
        <v>21979.090909090904</v>
      </c>
      <c r="V86" s="92">
        <f t="shared" si="6"/>
        <v>307707272.72727269</v>
      </c>
      <c r="W86" s="92">
        <f t="shared" si="7"/>
        <v>30770727.27272727</v>
      </c>
      <c r="Y86" s="115"/>
    </row>
    <row r="87" spans="1:25" s="94" customFormat="1" ht="30" customHeight="1">
      <c r="A87" s="85">
        <v>77</v>
      </c>
      <c r="B87" s="86" t="s">
        <v>422</v>
      </c>
      <c r="C87" s="127" t="s">
        <v>43</v>
      </c>
      <c r="D87" s="127" t="s">
        <v>51</v>
      </c>
      <c r="E87" s="127" t="s">
        <v>55</v>
      </c>
      <c r="F87" s="117" t="s">
        <v>423</v>
      </c>
      <c r="G87" s="88">
        <v>46206</v>
      </c>
      <c r="H87" s="87" t="s">
        <v>470</v>
      </c>
      <c r="I87" s="88" t="s">
        <v>471</v>
      </c>
      <c r="J87" s="89" t="s">
        <v>2458</v>
      </c>
      <c r="K87" s="89" t="s">
        <v>475</v>
      </c>
      <c r="L87" s="89" t="s">
        <v>339</v>
      </c>
      <c r="M87" s="118"/>
      <c r="N87" s="90">
        <v>40000</v>
      </c>
      <c r="O87" s="91">
        <v>46204</v>
      </c>
      <c r="P87" s="90" t="s">
        <v>286</v>
      </c>
      <c r="Q87" s="90">
        <v>80</v>
      </c>
      <c r="R87" s="90">
        <v>25110</v>
      </c>
      <c r="S87" s="130">
        <v>5400</v>
      </c>
      <c r="T87" s="90">
        <f t="shared" si="4"/>
        <v>19710</v>
      </c>
      <c r="U87" s="92">
        <f t="shared" si="5"/>
        <v>17918.181818181816</v>
      </c>
      <c r="V87" s="92">
        <f t="shared" si="6"/>
        <v>716727272.72727263</v>
      </c>
      <c r="W87" s="92">
        <f t="shared" si="7"/>
        <v>71672727.272727266</v>
      </c>
      <c r="Y87" s="115"/>
    </row>
    <row r="88" spans="1:25" s="94" customFormat="1" ht="30" customHeight="1">
      <c r="A88" s="85">
        <v>78</v>
      </c>
      <c r="B88" s="86" t="s">
        <v>50</v>
      </c>
      <c r="C88" s="127" t="s">
        <v>43</v>
      </c>
      <c r="D88" s="127" t="s">
        <v>51</v>
      </c>
      <c r="E88" s="127" t="s">
        <v>55</v>
      </c>
      <c r="F88" s="117" t="s">
        <v>49</v>
      </c>
      <c r="G88" s="88">
        <v>46206</v>
      </c>
      <c r="H88" s="87" t="s">
        <v>476</v>
      </c>
      <c r="I88" s="88" t="s">
        <v>472</v>
      </c>
      <c r="J88" s="89" t="s">
        <v>2627</v>
      </c>
      <c r="K88" s="89" t="s">
        <v>477</v>
      </c>
      <c r="L88" s="89" t="s">
        <v>339</v>
      </c>
      <c r="M88" s="118" t="s">
        <v>478</v>
      </c>
      <c r="N88" s="90">
        <v>30000</v>
      </c>
      <c r="O88" s="91">
        <v>46204</v>
      </c>
      <c r="P88" s="90" t="s">
        <v>286</v>
      </c>
      <c r="Q88" s="90">
        <v>80</v>
      </c>
      <c r="R88" s="90">
        <v>24850</v>
      </c>
      <c r="S88" s="130">
        <v>5700</v>
      </c>
      <c r="T88" s="90">
        <f t="shared" si="4"/>
        <v>19150</v>
      </c>
      <c r="U88" s="92">
        <f t="shared" si="5"/>
        <v>17409.090909090908</v>
      </c>
      <c r="V88" s="92">
        <f t="shared" si="6"/>
        <v>522272727.27272719</v>
      </c>
      <c r="W88" s="92">
        <f t="shared" si="7"/>
        <v>52227272.727272719</v>
      </c>
      <c r="Y88" s="115"/>
    </row>
    <row r="89" spans="1:25" s="94" customFormat="1" ht="30" customHeight="1">
      <c r="A89" s="85">
        <v>79</v>
      </c>
      <c r="B89" s="86" t="s">
        <v>50</v>
      </c>
      <c r="C89" s="127" t="s">
        <v>43</v>
      </c>
      <c r="D89" s="127" t="s">
        <v>51</v>
      </c>
      <c r="E89" s="127" t="s">
        <v>52</v>
      </c>
      <c r="F89" s="117" t="s">
        <v>49</v>
      </c>
      <c r="G89" s="88">
        <v>46206</v>
      </c>
      <c r="H89" s="87" t="s">
        <v>483</v>
      </c>
      <c r="I89" s="88" t="s">
        <v>473</v>
      </c>
      <c r="J89" s="89" t="s">
        <v>485</v>
      </c>
      <c r="K89" s="89" t="s">
        <v>486</v>
      </c>
      <c r="L89" s="89" t="s">
        <v>339</v>
      </c>
      <c r="M89" s="118" t="s">
        <v>487</v>
      </c>
      <c r="N89" s="90">
        <v>20000</v>
      </c>
      <c r="O89" s="91">
        <v>46204</v>
      </c>
      <c r="P89" s="90" t="s">
        <v>286</v>
      </c>
      <c r="Q89" s="90">
        <v>80</v>
      </c>
      <c r="R89" s="90">
        <v>24820</v>
      </c>
      <c r="S89" s="130">
        <v>4900</v>
      </c>
      <c r="T89" s="90">
        <f t="shared" si="4"/>
        <v>19920</v>
      </c>
      <c r="U89" s="92">
        <f t="shared" si="5"/>
        <v>18109.090909090904</v>
      </c>
      <c r="V89" s="92">
        <f t="shared" si="6"/>
        <v>362181818.18181813</v>
      </c>
      <c r="W89" s="92">
        <f t="shared" si="7"/>
        <v>36218181.818181813</v>
      </c>
      <c r="Y89" s="115"/>
    </row>
    <row r="90" spans="1:25" s="94" customFormat="1" ht="30" customHeight="1">
      <c r="A90" s="85">
        <v>80</v>
      </c>
      <c r="B90" s="86" t="s">
        <v>50</v>
      </c>
      <c r="C90" s="127" t="s">
        <v>43</v>
      </c>
      <c r="D90" s="127" t="s">
        <v>51</v>
      </c>
      <c r="E90" s="127" t="s">
        <v>53</v>
      </c>
      <c r="F90" s="117" t="s">
        <v>49</v>
      </c>
      <c r="G90" s="88">
        <v>46206</v>
      </c>
      <c r="H90" s="87" t="s">
        <v>488</v>
      </c>
      <c r="I90" s="88" t="s">
        <v>474</v>
      </c>
      <c r="J90" s="89" t="s">
        <v>2280</v>
      </c>
      <c r="K90" s="89" t="s">
        <v>489</v>
      </c>
      <c r="L90" s="89" t="s">
        <v>339</v>
      </c>
      <c r="M90" s="118" t="s">
        <v>490</v>
      </c>
      <c r="N90" s="90">
        <v>3000</v>
      </c>
      <c r="O90" s="91">
        <v>46204</v>
      </c>
      <c r="P90" s="90" t="s">
        <v>286</v>
      </c>
      <c r="Q90" s="90">
        <v>80</v>
      </c>
      <c r="R90" s="90">
        <v>24850</v>
      </c>
      <c r="S90" s="130">
        <v>5400</v>
      </c>
      <c r="T90" s="90">
        <f t="shared" si="4"/>
        <v>19450</v>
      </c>
      <c r="U90" s="92">
        <f t="shared" si="5"/>
        <v>17681.81818181818</v>
      </c>
      <c r="V90" s="92">
        <f t="shared" si="6"/>
        <v>53045454.545454539</v>
      </c>
      <c r="W90" s="92">
        <f t="shared" si="7"/>
        <v>5304545.4545454541</v>
      </c>
      <c r="Y90" s="115"/>
    </row>
    <row r="91" spans="1:25" s="94" customFormat="1" ht="30" customHeight="1">
      <c r="A91" s="85">
        <v>81</v>
      </c>
      <c r="B91" s="86" t="s">
        <v>412</v>
      </c>
      <c r="C91" s="127" t="s">
        <v>43</v>
      </c>
      <c r="D91" s="127" t="s">
        <v>51</v>
      </c>
      <c r="E91" s="127" t="s">
        <v>52</v>
      </c>
      <c r="F91" s="117" t="s">
        <v>414</v>
      </c>
      <c r="G91" s="88">
        <v>46206</v>
      </c>
      <c r="H91" s="87" t="s">
        <v>505</v>
      </c>
      <c r="I91" s="88" t="s">
        <v>506</v>
      </c>
      <c r="J91" s="89" t="s">
        <v>507</v>
      </c>
      <c r="K91" s="89" t="s">
        <v>508</v>
      </c>
      <c r="L91" s="89" t="s">
        <v>339</v>
      </c>
      <c r="M91" s="118" t="s">
        <v>435</v>
      </c>
      <c r="N91" s="90">
        <v>40000</v>
      </c>
      <c r="O91" s="91">
        <v>46204</v>
      </c>
      <c r="P91" s="90" t="s">
        <v>286</v>
      </c>
      <c r="Q91" s="90">
        <v>80</v>
      </c>
      <c r="R91" s="90">
        <v>24560</v>
      </c>
      <c r="S91" s="130">
        <v>5300</v>
      </c>
      <c r="T91" s="90">
        <f t="shared" si="4"/>
        <v>19260</v>
      </c>
      <c r="U91" s="92">
        <f t="shared" si="5"/>
        <v>17509.090909090908</v>
      </c>
      <c r="V91" s="92">
        <f t="shared" si="6"/>
        <v>700363636.36363626</v>
      </c>
      <c r="W91" s="92">
        <f t="shared" si="7"/>
        <v>70036363.636363626</v>
      </c>
      <c r="Y91" s="115"/>
    </row>
    <row r="92" spans="1:25" s="94" customFormat="1" ht="30" customHeight="1">
      <c r="A92" s="85">
        <v>82</v>
      </c>
      <c r="B92" s="86" t="s">
        <v>412</v>
      </c>
      <c r="C92" s="127" t="s">
        <v>43</v>
      </c>
      <c r="D92" s="127" t="s">
        <v>51</v>
      </c>
      <c r="E92" s="127" t="s">
        <v>52</v>
      </c>
      <c r="F92" s="117" t="s">
        <v>414</v>
      </c>
      <c r="G92" s="88">
        <v>46206</v>
      </c>
      <c r="H92" s="87" t="s">
        <v>511</v>
      </c>
      <c r="I92" s="88" t="s">
        <v>498</v>
      </c>
      <c r="J92" s="89" t="s">
        <v>514</v>
      </c>
      <c r="K92" s="89" t="s">
        <v>517</v>
      </c>
      <c r="L92" s="89" t="s">
        <v>338</v>
      </c>
      <c r="M92" s="118" t="s">
        <v>518</v>
      </c>
      <c r="N92" s="90">
        <v>40000</v>
      </c>
      <c r="O92" s="91">
        <v>46204</v>
      </c>
      <c r="P92" s="90" t="s">
        <v>286</v>
      </c>
      <c r="Q92" s="90">
        <v>80</v>
      </c>
      <c r="R92" s="90">
        <v>24560</v>
      </c>
      <c r="S92" s="130">
        <v>5300</v>
      </c>
      <c r="T92" s="90">
        <f t="shared" si="4"/>
        <v>19260</v>
      </c>
      <c r="U92" s="92">
        <f t="shared" si="5"/>
        <v>17509.090909090908</v>
      </c>
      <c r="V92" s="92">
        <f t="shared" si="6"/>
        <v>700363636.36363626</v>
      </c>
      <c r="W92" s="92">
        <f t="shared" si="7"/>
        <v>70036363.636363626</v>
      </c>
      <c r="Y92" s="115"/>
    </row>
    <row r="93" spans="1:25" s="94" customFormat="1" ht="30" customHeight="1">
      <c r="A93" s="85">
        <v>83</v>
      </c>
      <c r="B93" s="86" t="s">
        <v>412</v>
      </c>
      <c r="C93" s="127" t="s">
        <v>43</v>
      </c>
      <c r="D93" s="127" t="s">
        <v>51</v>
      </c>
      <c r="E93" s="127" t="s">
        <v>52</v>
      </c>
      <c r="F93" s="117" t="s">
        <v>414</v>
      </c>
      <c r="G93" s="88">
        <v>46206</v>
      </c>
      <c r="H93" s="87" t="s">
        <v>512</v>
      </c>
      <c r="I93" s="88" t="s">
        <v>509</v>
      </c>
      <c r="J93" s="89" t="s">
        <v>515</v>
      </c>
      <c r="K93" s="89" t="s">
        <v>517</v>
      </c>
      <c r="L93" s="89" t="s">
        <v>338</v>
      </c>
      <c r="M93" s="118" t="s">
        <v>518</v>
      </c>
      <c r="N93" s="90">
        <v>40000</v>
      </c>
      <c r="O93" s="91">
        <v>46204</v>
      </c>
      <c r="P93" s="90" t="s">
        <v>286</v>
      </c>
      <c r="Q93" s="90">
        <v>80</v>
      </c>
      <c r="R93" s="90">
        <v>24560</v>
      </c>
      <c r="S93" s="130">
        <v>5300</v>
      </c>
      <c r="T93" s="90">
        <f t="shared" si="4"/>
        <v>19260</v>
      </c>
      <c r="U93" s="92">
        <f t="shared" si="5"/>
        <v>17509.090909090908</v>
      </c>
      <c r="V93" s="92">
        <f t="shared" si="6"/>
        <v>700363636.36363626</v>
      </c>
      <c r="W93" s="92">
        <f t="shared" si="7"/>
        <v>70036363.636363626</v>
      </c>
      <c r="Y93" s="115"/>
    </row>
    <row r="94" spans="1:25" s="94" customFormat="1" ht="30" customHeight="1">
      <c r="A94" s="85">
        <v>84</v>
      </c>
      <c r="B94" s="86" t="s">
        <v>411</v>
      </c>
      <c r="C94" s="127" t="s">
        <v>43</v>
      </c>
      <c r="D94" s="127" t="s">
        <v>51</v>
      </c>
      <c r="E94" s="127" t="s">
        <v>52</v>
      </c>
      <c r="F94" s="117" t="s">
        <v>413</v>
      </c>
      <c r="G94" s="88">
        <v>46206</v>
      </c>
      <c r="H94" s="87" t="s">
        <v>513</v>
      </c>
      <c r="I94" s="88" t="s">
        <v>510</v>
      </c>
      <c r="J94" s="89" t="s">
        <v>516</v>
      </c>
      <c r="K94" s="89" t="s">
        <v>517</v>
      </c>
      <c r="L94" s="89" t="s">
        <v>338</v>
      </c>
      <c r="M94" s="118" t="s">
        <v>518</v>
      </c>
      <c r="N94" s="90">
        <v>40000</v>
      </c>
      <c r="O94" s="91">
        <v>46204</v>
      </c>
      <c r="P94" s="90" t="s">
        <v>286</v>
      </c>
      <c r="Q94" s="90">
        <v>80</v>
      </c>
      <c r="R94" s="90">
        <v>24560</v>
      </c>
      <c r="S94" s="130">
        <v>5300</v>
      </c>
      <c r="T94" s="90">
        <f t="shared" si="4"/>
        <v>19260</v>
      </c>
      <c r="U94" s="92">
        <f t="shared" si="5"/>
        <v>17509.090909090908</v>
      </c>
      <c r="V94" s="92">
        <f t="shared" si="6"/>
        <v>700363636.36363626</v>
      </c>
      <c r="W94" s="92">
        <f t="shared" si="7"/>
        <v>70036363.636363626</v>
      </c>
      <c r="Y94" s="115"/>
    </row>
    <row r="95" spans="1:25" s="94" customFormat="1" ht="30" customHeight="1">
      <c r="A95" s="85">
        <v>85</v>
      </c>
      <c r="B95" s="86" t="s">
        <v>50</v>
      </c>
      <c r="C95" s="127" t="s">
        <v>43</v>
      </c>
      <c r="D95" s="127" t="s">
        <v>51</v>
      </c>
      <c r="E95" s="127" t="s">
        <v>61</v>
      </c>
      <c r="F95" s="117" t="s">
        <v>49</v>
      </c>
      <c r="G95" s="88">
        <v>46206</v>
      </c>
      <c r="H95" s="87" t="s">
        <v>519</v>
      </c>
      <c r="I95" s="88" t="s">
        <v>521</v>
      </c>
      <c r="J95" s="89" t="s">
        <v>2461</v>
      </c>
      <c r="K95" s="89" t="s">
        <v>520</v>
      </c>
      <c r="L95" s="89" t="s">
        <v>339</v>
      </c>
      <c r="M95" s="118" t="s">
        <v>524</v>
      </c>
      <c r="N95" s="90">
        <v>20000</v>
      </c>
      <c r="O95" s="91">
        <v>46204</v>
      </c>
      <c r="P95" s="90" t="s">
        <v>286</v>
      </c>
      <c r="Q95" s="90">
        <v>80</v>
      </c>
      <c r="R95" s="90">
        <v>25280</v>
      </c>
      <c r="S95" s="130">
        <v>5600</v>
      </c>
      <c r="T95" s="90">
        <f t="shared" si="4"/>
        <v>19680</v>
      </c>
      <c r="U95" s="92">
        <f t="shared" si="5"/>
        <v>17890.909090909088</v>
      </c>
      <c r="V95" s="92">
        <f t="shared" si="6"/>
        <v>357818181.81818175</v>
      </c>
      <c r="W95" s="92">
        <f t="shared" si="7"/>
        <v>35781818.18181818</v>
      </c>
      <c r="Y95" s="115"/>
    </row>
    <row r="96" spans="1:25" s="94" customFormat="1" ht="30" customHeight="1">
      <c r="A96" s="85">
        <v>86</v>
      </c>
      <c r="B96" s="86" t="s">
        <v>50</v>
      </c>
      <c r="C96" s="127" t="s">
        <v>43</v>
      </c>
      <c r="D96" s="127" t="s">
        <v>51</v>
      </c>
      <c r="E96" s="127" t="s">
        <v>55</v>
      </c>
      <c r="F96" s="117" t="s">
        <v>49</v>
      </c>
      <c r="G96" s="88">
        <v>46206</v>
      </c>
      <c r="H96" s="87" t="s">
        <v>525</v>
      </c>
      <c r="I96" s="88" t="s">
        <v>522</v>
      </c>
      <c r="J96" s="89" t="s">
        <v>2626</v>
      </c>
      <c r="K96" s="89" t="s">
        <v>526</v>
      </c>
      <c r="L96" s="89" t="s">
        <v>338</v>
      </c>
      <c r="M96" s="118" t="s">
        <v>527</v>
      </c>
      <c r="N96" s="90">
        <v>20000</v>
      </c>
      <c r="O96" s="91">
        <v>46204</v>
      </c>
      <c r="P96" s="90" t="s">
        <v>286</v>
      </c>
      <c r="Q96" s="90">
        <v>80</v>
      </c>
      <c r="R96" s="90">
        <v>25110</v>
      </c>
      <c r="S96" s="130">
        <v>4900</v>
      </c>
      <c r="T96" s="90">
        <f t="shared" si="4"/>
        <v>20210</v>
      </c>
      <c r="U96" s="92">
        <f t="shared" si="5"/>
        <v>18372.727272727268</v>
      </c>
      <c r="V96" s="92">
        <f t="shared" si="6"/>
        <v>367454545.45454538</v>
      </c>
      <c r="W96" s="92">
        <f t="shared" si="7"/>
        <v>36745454.545454539</v>
      </c>
      <c r="Y96" s="115"/>
    </row>
    <row r="97" spans="1:25" s="94" customFormat="1" ht="30" customHeight="1">
      <c r="A97" s="85">
        <v>87</v>
      </c>
      <c r="B97" s="86" t="s">
        <v>50</v>
      </c>
      <c r="C97" s="127" t="s">
        <v>43</v>
      </c>
      <c r="D97" s="127" t="s">
        <v>51</v>
      </c>
      <c r="E97" s="127" t="s">
        <v>54</v>
      </c>
      <c r="F97" s="117" t="s">
        <v>49</v>
      </c>
      <c r="G97" s="88">
        <v>46209</v>
      </c>
      <c r="H97" s="87" t="s">
        <v>547</v>
      </c>
      <c r="I97" s="88" t="s">
        <v>548</v>
      </c>
      <c r="J97" s="89" t="s">
        <v>2478</v>
      </c>
      <c r="K97" s="89" t="s">
        <v>549</v>
      </c>
      <c r="L97" s="89" t="s">
        <v>551</v>
      </c>
      <c r="M97" s="118" t="s">
        <v>552</v>
      </c>
      <c r="N97" s="90">
        <v>20000</v>
      </c>
      <c r="O97" s="91">
        <v>46204</v>
      </c>
      <c r="P97" s="90" t="s">
        <v>286</v>
      </c>
      <c r="Q97" s="90">
        <v>80</v>
      </c>
      <c r="R97" s="90">
        <v>25370</v>
      </c>
      <c r="S97" s="130">
        <v>5700</v>
      </c>
      <c r="T97" s="90">
        <f t="shared" si="4"/>
        <v>19670</v>
      </c>
      <c r="U97" s="92">
        <f t="shared" si="5"/>
        <v>17881.81818181818</v>
      </c>
      <c r="V97" s="92">
        <f t="shared" si="6"/>
        <v>357636363.63636357</v>
      </c>
      <c r="W97" s="92">
        <f t="shared" si="7"/>
        <v>35763636.36363636</v>
      </c>
      <c r="Y97" s="115"/>
    </row>
    <row r="98" spans="1:25" s="94" customFormat="1" ht="30" customHeight="1">
      <c r="A98" s="85">
        <v>88</v>
      </c>
      <c r="B98" s="86" t="s">
        <v>50</v>
      </c>
      <c r="C98" s="127" t="s">
        <v>43</v>
      </c>
      <c r="D98" s="127" t="s">
        <v>51</v>
      </c>
      <c r="E98" s="127" t="s">
        <v>61</v>
      </c>
      <c r="F98" s="117" t="s">
        <v>49</v>
      </c>
      <c r="G98" s="88">
        <v>46209</v>
      </c>
      <c r="H98" s="87" t="s">
        <v>541</v>
      </c>
      <c r="I98" s="88" t="s">
        <v>542</v>
      </c>
      <c r="J98" s="89" t="s">
        <v>2433</v>
      </c>
      <c r="K98" s="89" t="s">
        <v>545</v>
      </c>
      <c r="L98" s="89" t="s">
        <v>551</v>
      </c>
      <c r="M98" s="118" t="s">
        <v>546</v>
      </c>
      <c r="N98" s="90">
        <v>16000</v>
      </c>
      <c r="O98" s="91">
        <v>46204</v>
      </c>
      <c r="P98" s="90" t="s">
        <v>286</v>
      </c>
      <c r="Q98" s="90">
        <v>80</v>
      </c>
      <c r="R98" s="90">
        <v>25280</v>
      </c>
      <c r="S98" s="130">
        <v>5600</v>
      </c>
      <c r="T98" s="90">
        <f t="shared" si="4"/>
        <v>19680</v>
      </c>
      <c r="U98" s="92">
        <f t="shared" si="5"/>
        <v>17890.909090909088</v>
      </c>
      <c r="V98" s="92">
        <f t="shared" si="6"/>
        <v>286254545.45454544</v>
      </c>
      <c r="W98" s="92">
        <f t="shared" si="7"/>
        <v>28625454.545454547</v>
      </c>
      <c r="Y98" s="115"/>
    </row>
    <row r="99" spans="1:25" s="94" customFormat="1" ht="30" customHeight="1">
      <c r="A99" s="85">
        <v>89</v>
      </c>
      <c r="B99" s="86" t="s">
        <v>50</v>
      </c>
      <c r="C99" s="127" t="s">
        <v>43</v>
      </c>
      <c r="D99" s="127" t="s">
        <v>51</v>
      </c>
      <c r="E99" s="127" t="s">
        <v>53</v>
      </c>
      <c r="F99" s="117" t="s">
        <v>49</v>
      </c>
      <c r="G99" s="88">
        <v>46208</v>
      </c>
      <c r="H99" s="87" t="s">
        <v>553</v>
      </c>
      <c r="I99" s="88" t="s">
        <v>543</v>
      </c>
      <c r="J99" s="89" t="s">
        <v>2464</v>
      </c>
      <c r="K99" s="89" t="s">
        <v>554</v>
      </c>
      <c r="L99" s="89" t="s">
        <v>1018</v>
      </c>
      <c r="M99" s="118" t="s">
        <v>555</v>
      </c>
      <c r="N99" s="90">
        <v>20000</v>
      </c>
      <c r="O99" s="91">
        <v>46204</v>
      </c>
      <c r="P99" s="90" t="s">
        <v>286</v>
      </c>
      <c r="Q99" s="90">
        <v>80</v>
      </c>
      <c r="R99" s="90">
        <v>24850</v>
      </c>
      <c r="S99" s="130">
        <v>5700</v>
      </c>
      <c r="T99" s="90">
        <f t="shared" si="4"/>
        <v>19150</v>
      </c>
      <c r="U99" s="92">
        <f t="shared" si="5"/>
        <v>17409.090909090908</v>
      </c>
      <c r="V99" s="92">
        <f t="shared" si="6"/>
        <v>348181818.18181813</v>
      </c>
      <c r="W99" s="92">
        <f t="shared" si="7"/>
        <v>34818181.818181813</v>
      </c>
      <c r="Y99" s="115"/>
    </row>
    <row r="100" spans="1:25" s="94" customFormat="1" ht="30" customHeight="1">
      <c r="A100" s="85">
        <v>90</v>
      </c>
      <c r="B100" s="86" t="s">
        <v>50</v>
      </c>
      <c r="C100" s="127" t="s">
        <v>43</v>
      </c>
      <c r="D100" s="127" t="s">
        <v>51</v>
      </c>
      <c r="E100" s="127" t="s">
        <v>53</v>
      </c>
      <c r="F100" s="117" t="s">
        <v>49</v>
      </c>
      <c r="G100" s="88">
        <v>46206</v>
      </c>
      <c r="H100" s="87" t="s">
        <v>556</v>
      </c>
      <c r="I100" s="88" t="s">
        <v>544</v>
      </c>
      <c r="J100" s="89" t="s">
        <v>2281</v>
      </c>
      <c r="K100" s="89" t="s">
        <v>557</v>
      </c>
      <c r="L100" s="89" t="s">
        <v>339</v>
      </c>
      <c r="M100" s="118" t="s">
        <v>558</v>
      </c>
      <c r="N100" s="90">
        <v>10000</v>
      </c>
      <c r="O100" s="91">
        <v>46204</v>
      </c>
      <c r="P100" s="90" t="s">
        <v>286</v>
      </c>
      <c r="Q100" s="90">
        <v>80</v>
      </c>
      <c r="R100" s="90">
        <v>24940</v>
      </c>
      <c r="S100" s="130">
        <v>5700</v>
      </c>
      <c r="T100" s="90">
        <f t="shared" si="4"/>
        <v>19240</v>
      </c>
      <c r="U100" s="92">
        <f t="shared" si="5"/>
        <v>17490.909090909088</v>
      </c>
      <c r="V100" s="92">
        <f t="shared" si="6"/>
        <v>174909090.90909088</v>
      </c>
      <c r="W100" s="92">
        <f t="shared" si="7"/>
        <v>17490909.09090909</v>
      </c>
      <c r="Y100" s="115"/>
    </row>
    <row r="101" spans="1:25" s="94" customFormat="1" ht="30" customHeight="1">
      <c r="A101" s="85">
        <v>91</v>
      </c>
      <c r="B101" s="86" t="s">
        <v>50</v>
      </c>
      <c r="C101" s="127" t="s">
        <v>43</v>
      </c>
      <c r="D101" s="127" t="s">
        <v>51</v>
      </c>
      <c r="E101" s="127" t="s">
        <v>54</v>
      </c>
      <c r="F101" s="117" t="s">
        <v>49</v>
      </c>
      <c r="G101" s="88">
        <v>46209</v>
      </c>
      <c r="H101" s="87" t="s">
        <v>627</v>
      </c>
      <c r="I101" s="88" t="s">
        <v>628</v>
      </c>
      <c r="J101" s="89" t="s">
        <v>2479</v>
      </c>
      <c r="K101" s="89" t="s">
        <v>629</v>
      </c>
      <c r="L101" s="89" t="s">
        <v>551</v>
      </c>
      <c r="M101" s="118" t="s">
        <v>630</v>
      </c>
      <c r="N101" s="90">
        <v>12000</v>
      </c>
      <c r="O101" s="91">
        <v>46204</v>
      </c>
      <c r="P101" s="90" t="s">
        <v>286</v>
      </c>
      <c r="Q101" s="90">
        <v>80</v>
      </c>
      <c r="R101" s="90">
        <v>25410</v>
      </c>
      <c r="S101" s="130">
        <v>5500</v>
      </c>
      <c r="T101" s="90">
        <f t="shared" si="4"/>
        <v>19910</v>
      </c>
      <c r="U101" s="92">
        <f t="shared" si="5"/>
        <v>18099.999999999996</v>
      </c>
      <c r="V101" s="92">
        <f t="shared" si="6"/>
        <v>217199999.99999997</v>
      </c>
      <c r="W101" s="92">
        <f t="shared" si="7"/>
        <v>21720000</v>
      </c>
      <c r="Y101" s="115"/>
    </row>
    <row r="102" spans="1:25" s="94" customFormat="1" ht="30" customHeight="1">
      <c r="A102" s="85">
        <v>92</v>
      </c>
      <c r="B102" s="86" t="s">
        <v>50</v>
      </c>
      <c r="C102" s="127" t="s">
        <v>43</v>
      </c>
      <c r="D102" s="127" t="s">
        <v>51</v>
      </c>
      <c r="E102" s="127" t="s">
        <v>53</v>
      </c>
      <c r="F102" s="117" t="s">
        <v>49</v>
      </c>
      <c r="G102" s="88">
        <v>46209</v>
      </c>
      <c r="H102" s="87" t="s">
        <v>567</v>
      </c>
      <c r="I102" s="88" t="s">
        <v>568</v>
      </c>
      <c r="J102" s="89" t="s">
        <v>2282</v>
      </c>
      <c r="K102" s="89" t="s">
        <v>569</v>
      </c>
      <c r="L102" s="89" t="s">
        <v>550</v>
      </c>
      <c r="M102" s="118" t="s">
        <v>570</v>
      </c>
      <c r="N102" s="90">
        <v>15000</v>
      </c>
      <c r="O102" s="91">
        <v>46204</v>
      </c>
      <c r="P102" s="90" t="s">
        <v>286</v>
      </c>
      <c r="Q102" s="90">
        <v>80</v>
      </c>
      <c r="R102" s="90">
        <v>24940</v>
      </c>
      <c r="S102" s="130">
        <v>5700</v>
      </c>
      <c r="T102" s="90">
        <f t="shared" si="4"/>
        <v>19240</v>
      </c>
      <c r="U102" s="92">
        <f t="shared" si="5"/>
        <v>17490.909090909088</v>
      </c>
      <c r="V102" s="92">
        <f t="shared" si="6"/>
        <v>262363636.36363631</v>
      </c>
      <c r="W102" s="92">
        <f t="shared" si="7"/>
        <v>26236363.636363633</v>
      </c>
      <c r="Y102" s="115"/>
    </row>
    <row r="103" spans="1:25" s="94" customFormat="1" ht="30" customHeight="1">
      <c r="A103" s="85">
        <v>93</v>
      </c>
      <c r="B103" s="86" t="s">
        <v>50</v>
      </c>
      <c r="C103" s="127" t="s">
        <v>43</v>
      </c>
      <c r="D103" s="127" t="s">
        <v>51</v>
      </c>
      <c r="E103" s="127" t="s">
        <v>52</v>
      </c>
      <c r="F103" s="117" t="s">
        <v>49</v>
      </c>
      <c r="G103" s="88">
        <v>46209</v>
      </c>
      <c r="H103" s="87" t="s">
        <v>571</v>
      </c>
      <c r="I103" s="88" t="s">
        <v>572</v>
      </c>
      <c r="J103" s="89" t="s">
        <v>573</v>
      </c>
      <c r="K103" s="89" t="s">
        <v>574</v>
      </c>
      <c r="L103" s="89" t="s">
        <v>550</v>
      </c>
      <c r="M103" s="118" t="s">
        <v>575</v>
      </c>
      <c r="N103" s="90">
        <v>20000</v>
      </c>
      <c r="O103" s="91">
        <v>46204</v>
      </c>
      <c r="P103" s="90" t="s">
        <v>286</v>
      </c>
      <c r="Q103" s="90">
        <v>80</v>
      </c>
      <c r="R103" s="90">
        <v>25040</v>
      </c>
      <c r="S103" s="130">
        <v>4700</v>
      </c>
      <c r="T103" s="90">
        <f t="shared" si="4"/>
        <v>20340</v>
      </c>
      <c r="U103" s="92">
        <f t="shared" si="5"/>
        <v>18490.909090909088</v>
      </c>
      <c r="V103" s="92">
        <f t="shared" si="6"/>
        <v>369818181.81818175</v>
      </c>
      <c r="W103" s="92">
        <f t="shared" si="7"/>
        <v>36981818.18181818</v>
      </c>
      <c r="Y103" s="115"/>
    </row>
    <row r="104" spans="1:25" s="94" customFormat="1" ht="30" customHeight="1">
      <c r="A104" s="85">
        <v>94</v>
      </c>
      <c r="B104" s="86" t="s">
        <v>50</v>
      </c>
      <c r="C104" s="127" t="s">
        <v>43</v>
      </c>
      <c r="D104" s="127" t="s">
        <v>51</v>
      </c>
      <c r="E104" s="127" t="s">
        <v>61</v>
      </c>
      <c r="F104" s="117" t="s">
        <v>49</v>
      </c>
      <c r="G104" s="88">
        <v>46209</v>
      </c>
      <c r="H104" s="87" t="s">
        <v>576</v>
      </c>
      <c r="I104" s="88" t="s">
        <v>577</v>
      </c>
      <c r="J104" s="89" t="s">
        <v>2431</v>
      </c>
      <c r="K104" s="89" t="s">
        <v>578</v>
      </c>
      <c r="L104" s="89" t="s">
        <v>550</v>
      </c>
      <c r="M104" s="118" t="s">
        <v>579</v>
      </c>
      <c r="N104" s="90">
        <v>20000</v>
      </c>
      <c r="O104" s="91">
        <v>46204</v>
      </c>
      <c r="P104" s="90" t="s">
        <v>286</v>
      </c>
      <c r="Q104" s="90">
        <v>80</v>
      </c>
      <c r="R104" s="90">
        <v>25250</v>
      </c>
      <c r="S104" s="130">
        <v>4900</v>
      </c>
      <c r="T104" s="90">
        <f t="shared" si="4"/>
        <v>20350</v>
      </c>
      <c r="U104" s="92">
        <f t="shared" si="5"/>
        <v>18499.999999999996</v>
      </c>
      <c r="V104" s="92">
        <f t="shared" si="6"/>
        <v>369999999.99999994</v>
      </c>
      <c r="W104" s="92">
        <f t="shared" si="7"/>
        <v>36999999.999999993</v>
      </c>
      <c r="Y104" s="115"/>
    </row>
    <row r="105" spans="1:25" s="94" customFormat="1" ht="30" customHeight="1">
      <c r="A105" s="85">
        <v>95</v>
      </c>
      <c r="B105" s="86" t="s">
        <v>50</v>
      </c>
      <c r="C105" s="127" t="s">
        <v>43</v>
      </c>
      <c r="D105" s="127" t="s">
        <v>51</v>
      </c>
      <c r="E105" s="127" t="s">
        <v>55</v>
      </c>
      <c r="F105" s="117" t="s">
        <v>49</v>
      </c>
      <c r="G105" s="88">
        <v>46209</v>
      </c>
      <c r="H105" s="87" t="s">
        <v>580</v>
      </c>
      <c r="I105" s="88" t="s">
        <v>581</v>
      </c>
      <c r="J105" s="89" t="s">
        <v>2553</v>
      </c>
      <c r="K105" s="89" t="s">
        <v>582</v>
      </c>
      <c r="L105" s="89" t="s">
        <v>550</v>
      </c>
      <c r="M105" s="118" t="s">
        <v>583</v>
      </c>
      <c r="N105" s="90">
        <v>40000</v>
      </c>
      <c r="O105" s="91">
        <v>46204</v>
      </c>
      <c r="P105" s="90" t="s">
        <v>286</v>
      </c>
      <c r="Q105" s="90">
        <v>80</v>
      </c>
      <c r="R105" s="90">
        <v>24850</v>
      </c>
      <c r="S105" s="130">
        <v>5600</v>
      </c>
      <c r="T105" s="90">
        <f t="shared" si="4"/>
        <v>19250</v>
      </c>
      <c r="U105" s="92">
        <f t="shared" si="5"/>
        <v>17499.999999999996</v>
      </c>
      <c r="V105" s="92">
        <f t="shared" si="6"/>
        <v>699999999.99999988</v>
      </c>
      <c r="W105" s="92">
        <f t="shared" si="7"/>
        <v>69999999.999999985</v>
      </c>
      <c r="Y105" s="115"/>
    </row>
    <row r="106" spans="1:25" s="94" customFormat="1" ht="30" customHeight="1">
      <c r="A106" s="85">
        <v>96</v>
      </c>
      <c r="B106" s="86" t="s">
        <v>50</v>
      </c>
      <c r="C106" s="127" t="s">
        <v>43</v>
      </c>
      <c r="D106" s="127" t="s">
        <v>51</v>
      </c>
      <c r="E106" s="127" t="s">
        <v>61</v>
      </c>
      <c r="F106" s="117" t="s">
        <v>49</v>
      </c>
      <c r="G106" s="88">
        <v>46209</v>
      </c>
      <c r="H106" s="87" t="s">
        <v>584</v>
      </c>
      <c r="I106" s="88" t="s">
        <v>585</v>
      </c>
      <c r="J106" s="89" t="s">
        <v>2432</v>
      </c>
      <c r="K106" s="89" t="s">
        <v>587</v>
      </c>
      <c r="L106" s="89" t="s">
        <v>551</v>
      </c>
      <c r="M106" s="118" t="s">
        <v>588</v>
      </c>
      <c r="N106" s="90">
        <v>40000</v>
      </c>
      <c r="O106" s="91">
        <v>46204</v>
      </c>
      <c r="P106" s="90" t="s">
        <v>286</v>
      </c>
      <c r="Q106" s="90">
        <v>80</v>
      </c>
      <c r="R106" s="90">
        <v>25370</v>
      </c>
      <c r="S106" s="130">
        <v>4900</v>
      </c>
      <c r="T106" s="90">
        <f t="shared" si="4"/>
        <v>20470</v>
      </c>
      <c r="U106" s="92">
        <f t="shared" si="5"/>
        <v>18609.090909090904</v>
      </c>
      <c r="V106" s="92">
        <f t="shared" si="6"/>
        <v>744363636.36363626</v>
      </c>
      <c r="W106" s="92">
        <f t="shared" si="7"/>
        <v>74436363.636363626</v>
      </c>
      <c r="Y106" s="115"/>
    </row>
    <row r="107" spans="1:25" s="94" customFormat="1" ht="30" customHeight="1">
      <c r="A107" s="85">
        <v>97</v>
      </c>
      <c r="B107" s="86" t="s">
        <v>50</v>
      </c>
      <c r="C107" s="127" t="s">
        <v>43</v>
      </c>
      <c r="D107" s="127" t="s">
        <v>51</v>
      </c>
      <c r="E107" s="127" t="s">
        <v>52</v>
      </c>
      <c r="F107" s="117" t="s">
        <v>49</v>
      </c>
      <c r="G107" s="88">
        <v>46209</v>
      </c>
      <c r="H107" s="87" t="s">
        <v>606</v>
      </c>
      <c r="I107" s="88" t="s">
        <v>586</v>
      </c>
      <c r="J107" s="89" t="s">
        <v>608</v>
      </c>
      <c r="K107" s="89" t="s">
        <v>609</v>
      </c>
      <c r="L107" s="89" t="s">
        <v>551</v>
      </c>
      <c r="M107" s="118" t="s">
        <v>610</v>
      </c>
      <c r="N107" s="90">
        <v>20000</v>
      </c>
      <c r="O107" s="91">
        <v>46204</v>
      </c>
      <c r="P107" s="90" t="s">
        <v>286</v>
      </c>
      <c r="Q107" s="90">
        <v>80</v>
      </c>
      <c r="R107" s="90">
        <v>24820</v>
      </c>
      <c r="S107" s="130">
        <v>5250</v>
      </c>
      <c r="T107" s="90">
        <f t="shared" si="4"/>
        <v>19570</v>
      </c>
      <c r="U107" s="92">
        <f t="shared" si="5"/>
        <v>17790.909090909088</v>
      </c>
      <c r="V107" s="92">
        <f t="shared" si="6"/>
        <v>355818181.81818175</v>
      </c>
      <c r="W107" s="92">
        <f t="shared" si="7"/>
        <v>35581818.18181818</v>
      </c>
      <c r="Y107" s="115"/>
    </row>
    <row r="108" spans="1:25" s="94" customFormat="1" ht="30" customHeight="1">
      <c r="A108" s="85">
        <v>98</v>
      </c>
      <c r="B108" s="86" t="s">
        <v>50</v>
      </c>
      <c r="C108" s="127" t="s">
        <v>43</v>
      </c>
      <c r="D108" s="127" t="s">
        <v>51</v>
      </c>
      <c r="E108" s="127" t="s">
        <v>53</v>
      </c>
      <c r="F108" s="117" t="s">
        <v>49</v>
      </c>
      <c r="G108" s="88">
        <v>46209</v>
      </c>
      <c r="H108" s="87" t="s">
        <v>616</v>
      </c>
      <c r="I108" s="88" t="s">
        <v>607</v>
      </c>
      <c r="J108" s="89" t="s">
        <v>2283</v>
      </c>
      <c r="K108" s="89" t="s">
        <v>617</v>
      </c>
      <c r="L108" s="89" t="s">
        <v>551</v>
      </c>
      <c r="M108" s="118" t="s">
        <v>618</v>
      </c>
      <c r="N108" s="90">
        <v>400000</v>
      </c>
      <c r="O108" s="91">
        <v>46204</v>
      </c>
      <c r="P108" s="90" t="s">
        <v>286</v>
      </c>
      <c r="Q108" s="90">
        <v>80</v>
      </c>
      <c r="R108" s="90">
        <v>24850</v>
      </c>
      <c r="S108" s="130">
        <v>5200</v>
      </c>
      <c r="T108" s="90">
        <f t="shared" si="4"/>
        <v>19650</v>
      </c>
      <c r="U108" s="92">
        <f t="shared" si="5"/>
        <v>17863.63636363636</v>
      </c>
      <c r="V108" s="92">
        <f t="shared" si="6"/>
        <v>7145454545.4545441</v>
      </c>
      <c r="W108" s="92">
        <f t="shared" si="7"/>
        <v>714545454.5454545</v>
      </c>
      <c r="Y108" s="115"/>
    </row>
    <row r="109" spans="1:25" s="94" customFormat="1" ht="30" customHeight="1">
      <c r="A109" s="85">
        <v>99</v>
      </c>
      <c r="B109" s="86" t="s">
        <v>50</v>
      </c>
      <c r="C109" s="127" t="s">
        <v>43</v>
      </c>
      <c r="D109" s="127" t="s">
        <v>51</v>
      </c>
      <c r="E109" s="127" t="s">
        <v>54</v>
      </c>
      <c r="F109" s="117" t="s">
        <v>49</v>
      </c>
      <c r="G109" s="88">
        <v>46209</v>
      </c>
      <c r="H109" s="87" t="s">
        <v>627</v>
      </c>
      <c r="I109" s="88" t="s">
        <v>631</v>
      </c>
      <c r="J109" s="89" t="s">
        <v>2480</v>
      </c>
      <c r="K109" s="89" t="s">
        <v>632</v>
      </c>
      <c r="L109" s="89" t="s">
        <v>551</v>
      </c>
      <c r="M109" s="118" t="s">
        <v>633</v>
      </c>
      <c r="N109" s="90">
        <v>16000</v>
      </c>
      <c r="O109" s="91">
        <v>46204</v>
      </c>
      <c r="P109" s="90" t="s">
        <v>286</v>
      </c>
      <c r="Q109" s="90">
        <v>80</v>
      </c>
      <c r="R109" s="90">
        <v>25610</v>
      </c>
      <c r="S109" s="130">
        <v>5000</v>
      </c>
      <c r="T109" s="90">
        <f t="shared" si="4"/>
        <v>20610</v>
      </c>
      <c r="U109" s="92">
        <f t="shared" si="5"/>
        <v>18736.363636363632</v>
      </c>
      <c r="V109" s="92">
        <f t="shared" si="6"/>
        <v>299781818.18181813</v>
      </c>
      <c r="W109" s="92">
        <f t="shared" si="7"/>
        <v>29978181.818181813</v>
      </c>
      <c r="Y109" s="115"/>
    </row>
    <row r="110" spans="1:25" s="94" customFormat="1" ht="30" customHeight="1">
      <c r="A110" s="85">
        <v>100</v>
      </c>
      <c r="B110" s="86" t="s">
        <v>50</v>
      </c>
      <c r="C110" s="127" t="s">
        <v>43</v>
      </c>
      <c r="D110" s="127" t="s">
        <v>51</v>
      </c>
      <c r="E110" s="127" t="s">
        <v>61</v>
      </c>
      <c r="F110" s="117" t="s">
        <v>49</v>
      </c>
      <c r="G110" s="88">
        <v>46209</v>
      </c>
      <c r="H110" s="87" t="s">
        <v>652</v>
      </c>
      <c r="I110" s="88" t="s">
        <v>653</v>
      </c>
      <c r="J110" s="89" t="s">
        <v>2438</v>
      </c>
      <c r="K110" s="89" t="s">
        <v>654</v>
      </c>
      <c r="L110" s="89" t="s">
        <v>551</v>
      </c>
      <c r="M110" s="118" t="s">
        <v>655</v>
      </c>
      <c r="N110" s="90">
        <v>20000</v>
      </c>
      <c r="O110" s="91">
        <v>46204</v>
      </c>
      <c r="P110" s="90" t="s">
        <v>286</v>
      </c>
      <c r="Q110" s="90">
        <v>80</v>
      </c>
      <c r="R110" s="90">
        <v>25010</v>
      </c>
      <c r="S110" s="130">
        <v>5200</v>
      </c>
      <c r="T110" s="90">
        <f t="shared" si="4"/>
        <v>19810</v>
      </c>
      <c r="U110" s="92">
        <f t="shared" si="5"/>
        <v>18009.090909090908</v>
      </c>
      <c r="V110" s="92">
        <f t="shared" si="6"/>
        <v>360181818.18181813</v>
      </c>
      <c r="W110" s="92">
        <f t="shared" si="7"/>
        <v>36018181.818181813</v>
      </c>
      <c r="Y110" s="115"/>
    </row>
    <row r="111" spans="1:25" s="94" customFormat="1" ht="30" customHeight="1">
      <c r="A111" s="85">
        <v>101</v>
      </c>
      <c r="B111" s="86" t="s">
        <v>50</v>
      </c>
      <c r="C111" s="127" t="s">
        <v>43</v>
      </c>
      <c r="D111" s="127" t="s">
        <v>51</v>
      </c>
      <c r="E111" s="127" t="s">
        <v>61</v>
      </c>
      <c r="F111" s="117" t="s">
        <v>49</v>
      </c>
      <c r="G111" s="88">
        <v>46209</v>
      </c>
      <c r="H111" s="87" t="s">
        <v>656</v>
      </c>
      <c r="I111" s="88" t="s">
        <v>657</v>
      </c>
      <c r="J111" s="89" t="s">
        <v>2434</v>
      </c>
      <c r="K111" s="89" t="s">
        <v>658</v>
      </c>
      <c r="L111" s="89" t="s">
        <v>551</v>
      </c>
      <c r="M111" s="118" t="s">
        <v>659</v>
      </c>
      <c r="N111" s="90">
        <v>16000</v>
      </c>
      <c r="O111" s="91">
        <v>46204</v>
      </c>
      <c r="P111" s="90" t="s">
        <v>286</v>
      </c>
      <c r="Q111" s="90">
        <v>80</v>
      </c>
      <c r="R111" s="90">
        <v>25280</v>
      </c>
      <c r="S111" s="130">
        <v>5100</v>
      </c>
      <c r="T111" s="90">
        <f t="shared" si="4"/>
        <v>20180</v>
      </c>
      <c r="U111" s="92">
        <f t="shared" si="5"/>
        <v>18345.454545454544</v>
      </c>
      <c r="V111" s="92">
        <f t="shared" si="6"/>
        <v>293527272.72727269</v>
      </c>
      <c r="W111" s="92">
        <f t="shared" si="7"/>
        <v>29352727.27272727</v>
      </c>
      <c r="Y111" s="115"/>
    </row>
    <row r="112" spans="1:25" s="94" customFormat="1" ht="30" customHeight="1">
      <c r="A112" s="85">
        <v>102</v>
      </c>
      <c r="B112" s="86" t="s">
        <v>50</v>
      </c>
      <c r="C112" s="127" t="s">
        <v>43</v>
      </c>
      <c r="D112" s="127" t="s">
        <v>51</v>
      </c>
      <c r="E112" s="127" t="s">
        <v>55</v>
      </c>
      <c r="F112" s="117" t="s">
        <v>49</v>
      </c>
      <c r="G112" s="88">
        <v>46209</v>
      </c>
      <c r="H112" s="87" t="s">
        <v>660</v>
      </c>
      <c r="I112" s="88" t="s">
        <v>661</v>
      </c>
      <c r="J112" s="89" t="s">
        <v>2625</v>
      </c>
      <c r="K112" s="89" t="s">
        <v>662</v>
      </c>
      <c r="L112" s="89" t="s">
        <v>551</v>
      </c>
      <c r="M112" s="118" t="s">
        <v>663</v>
      </c>
      <c r="N112" s="90">
        <v>30000</v>
      </c>
      <c r="O112" s="91">
        <v>46204</v>
      </c>
      <c r="P112" s="90" t="s">
        <v>286</v>
      </c>
      <c r="Q112" s="90">
        <v>80</v>
      </c>
      <c r="R112" s="90">
        <v>24850</v>
      </c>
      <c r="S112" s="130">
        <v>5200</v>
      </c>
      <c r="T112" s="90">
        <f t="shared" si="4"/>
        <v>19650</v>
      </c>
      <c r="U112" s="92">
        <f t="shared" si="5"/>
        <v>17863.63636363636</v>
      </c>
      <c r="V112" s="92">
        <f t="shared" si="6"/>
        <v>535909090.90909082</v>
      </c>
      <c r="W112" s="92">
        <f t="shared" si="7"/>
        <v>53590909.090909086</v>
      </c>
      <c r="Y112" s="115"/>
    </row>
    <row r="113" spans="1:25" s="94" customFormat="1" ht="30" customHeight="1">
      <c r="A113" s="85">
        <v>103</v>
      </c>
      <c r="B113" s="86" t="s">
        <v>50</v>
      </c>
      <c r="C113" s="127" t="s">
        <v>43</v>
      </c>
      <c r="D113" s="127" t="s">
        <v>51</v>
      </c>
      <c r="E113" s="127" t="s">
        <v>55</v>
      </c>
      <c r="F113" s="117" t="s">
        <v>49</v>
      </c>
      <c r="G113" s="88">
        <v>46209</v>
      </c>
      <c r="H113" s="87" t="s">
        <v>664</v>
      </c>
      <c r="I113" s="88" t="s">
        <v>665</v>
      </c>
      <c r="J113" s="89" t="s">
        <v>2624</v>
      </c>
      <c r="K113" s="89" t="s">
        <v>666</v>
      </c>
      <c r="L113" s="89" t="s">
        <v>551</v>
      </c>
      <c r="M113" s="118" t="s">
        <v>667</v>
      </c>
      <c r="N113" s="90">
        <v>120000</v>
      </c>
      <c r="O113" s="91">
        <v>46204</v>
      </c>
      <c r="P113" s="90" t="s">
        <v>286</v>
      </c>
      <c r="Q113" s="90">
        <v>80</v>
      </c>
      <c r="R113" s="90">
        <v>25030</v>
      </c>
      <c r="S113" s="130">
        <v>3865</v>
      </c>
      <c r="T113" s="90">
        <f t="shared" si="4"/>
        <v>21165</v>
      </c>
      <c r="U113" s="92">
        <f t="shared" si="5"/>
        <v>19240.909090909088</v>
      </c>
      <c r="V113" s="92">
        <f t="shared" si="6"/>
        <v>2308909090.9090905</v>
      </c>
      <c r="W113" s="92">
        <f t="shared" si="7"/>
        <v>230890909.09090906</v>
      </c>
      <c r="Y113" s="115"/>
    </row>
    <row r="114" spans="1:25" s="94" customFormat="1" ht="30" customHeight="1">
      <c r="A114" s="85">
        <v>104</v>
      </c>
      <c r="B114" s="86" t="s">
        <v>213</v>
      </c>
      <c r="C114" s="127">
        <v>91</v>
      </c>
      <c r="D114" s="127" t="s">
        <v>51</v>
      </c>
      <c r="E114" s="127" t="s">
        <v>55</v>
      </c>
      <c r="F114" s="117" t="s">
        <v>56</v>
      </c>
      <c r="G114" s="88">
        <v>46209</v>
      </c>
      <c r="H114" s="87" t="s">
        <v>668</v>
      </c>
      <c r="I114" s="88" t="s">
        <v>669</v>
      </c>
      <c r="J114" s="89" t="s">
        <v>2623</v>
      </c>
      <c r="K114" s="89" t="s">
        <v>670</v>
      </c>
      <c r="L114" s="89" t="s">
        <v>551</v>
      </c>
      <c r="M114" s="118" t="s">
        <v>671</v>
      </c>
      <c r="N114" s="90">
        <v>47000</v>
      </c>
      <c r="O114" s="91">
        <v>46204</v>
      </c>
      <c r="P114" s="90" t="s">
        <v>286</v>
      </c>
      <c r="Q114" s="90">
        <v>80</v>
      </c>
      <c r="R114" s="90">
        <v>30070</v>
      </c>
      <c r="S114" s="130">
        <v>3500</v>
      </c>
      <c r="T114" s="90">
        <f t="shared" si="4"/>
        <v>26570</v>
      </c>
      <c r="U114" s="92">
        <f t="shared" si="5"/>
        <v>24154.545454545452</v>
      </c>
      <c r="V114" s="92">
        <f t="shared" si="6"/>
        <v>1135263636.3636363</v>
      </c>
      <c r="W114" s="92">
        <f t="shared" si="7"/>
        <v>113526363.63636363</v>
      </c>
      <c r="Y114" s="115"/>
    </row>
    <row r="115" spans="1:25" s="94" customFormat="1" ht="30" customHeight="1">
      <c r="A115" s="85">
        <v>105</v>
      </c>
      <c r="B115" s="86" t="s">
        <v>50</v>
      </c>
      <c r="C115" s="127" t="s">
        <v>43</v>
      </c>
      <c r="D115" s="127" t="s">
        <v>51</v>
      </c>
      <c r="E115" s="127" t="s">
        <v>53</v>
      </c>
      <c r="F115" s="117" t="s">
        <v>49</v>
      </c>
      <c r="G115" s="88">
        <v>46209</v>
      </c>
      <c r="H115" s="87" t="s">
        <v>672</v>
      </c>
      <c r="I115" s="88" t="s">
        <v>673</v>
      </c>
      <c r="J115" s="89" t="s">
        <v>2465</v>
      </c>
      <c r="K115" s="89" t="s">
        <v>674</v>
      </c>
      <c r="L115" s="89" t="s">
        <v>551</v>
      </c>
      <c r="M115" s="118" t="s">
        <v>675</v>
      </c>
      <c r="N115" s="90">
        <v>20000</v>
      </c>
      <c r="O115" s="91">
        <v>46204</v>
      </c>
      <c r="P115" s="90" t="s">
        <v>286</v>
      </c>
      <c r="Q115" s="90">
        <v>80</v>
      </c>
      <c r="R115" s="90">
        <v>24850</v>
      </c>
      <c r="S115" s="130">
        <v>5200</v>
      </c>
      <c r="T115" s="90">
        <f t="shared" si="4"/>
        <v>19650</v>
      </c>
      <c r="U115" s="92">
        <f t="shared" si="5"/>
        <v>17863.63636363636</v>
      </c>
      <c r="V115" s="92">
        <f t="shared" si="6"/>
        <v>357272727.27272719</v>
      </c>
      <c r="W115" s="92">
        <f t="shared" si="7"/>
        <v>35727272.727272719</v>
      </c>
      <c r="Y115" s="115"/>
    </row>
    <row r="116" spans="1:25" s="94" customFormat="1" ht="30" customHeight="1">
      <c r="A116" s="85">
        <v>106</v>
      </c>
      <c r="B116" s="86" t="s">
        <v>50</v>
      </c>
      <c r="C116" s="127" t="s">
        <v>43</v>
      </c>
      <c r="D116" s="127" t="s">
        <v>51</v>
      </c>
      <c r="E116" s="127" t="s">
        <v>52</v>
      </c>
      <c r="F116" s="117" t="s">
        <v>49</v>
      </c>
      <c r="G116" s="88">
        <v>46210</v>
      </c>
      <c r="H116" s="87" t="s">
        <v>676</v>
      </c>
      <c r="I116" s="88" t="s">
        <v>677</v>
      </c>
      <c r="J116" s="89" t="s">
        <v>683</v>
      </c>
      <c r="K116" s="89" t="s">
        <v>678</v>
      </c>
      <c r="L116" s="89" t="s">
        <v>679</v>
      </c>
      <c r="M116" s="118" t="s">
        <v>680</v>
      </c>
      <c r="N116" s="90">
        <v>15000</v>
      </c>
      <c r="O116" s="91">
        <v>46204</v>
      </c>
      <c r="P116" s="90" t="s">
        <v>286</v>
      </c>
      <c r="Q116" s="90">
        <v>80</v>
      </c>
      <c r="R116" s="90">
        <v>24820</v>
      </c>
      <c r="S116" s="130">
        <v>5200</v>
      </c>
      <c r="T116" s="90">
        <f t="shared" si="4"/>
        <v>19620</v>
      </c>
      <c r="U116" s="92">
        <f t="shared" si="5"/>
        <v>17836.363636363632</v>
      </c>
      <c r="V116" s="92">
        <f t="shared" si="6"/>
        <v>267545454.5454545</v>
      </c>
      <c r="W116" s="92">
        <f t="shared" si="7"/>
        <v>26754545.454545453</v>
      </c>
      <c r="Y116" s="115"/>
    </row>
    <row r="117" spans="1:25" s="94" customFormat="1" ht="30" customHeight="1">
      <c r="A117" s="85">
        <v>107</v>
      </c>
      <c r="B117" s="86" t="s">
        <v>50</v>
      </c>
      <c r="C117" s="127" t="s">
        <v>43</v>
      </c>
      <c r="D117" s="127" t="s">
        <v>51</v>
      </c>
      <c r="E117" s="127" t="s">
        <v>52</v>
      </c>
      <c r="F117" s="117" t="s">
        <v>49</v>
      </c>
      <c r="G117" s="88">
        <v>46210</v>
      </c>
      <c r="H117" s="87" t="s">
        <v>681</v>
      </c>
      <c r="I117" s="88" t="s">
        <v>682</v>
      </c>
      <c r="J117" s="89" t="s">
        <v>684</v>
      </c>
      <c r="K117" s="89" t="s">
        <v>685</v>
      </c>
      <c r="L117" s="89" t="s">
        <v>551</v>
      </c>
      <c r="M117" s="118" t="s">
        <v>686</v>
      </c>
      <c r="N117" s="90">
        <v>40000</v>
      </c>
      <c r="O117" s="91">
        <v>46204</v>
      </c>
      <c r="P117" s="90" t="s">
        <v>286</v>
      </c>
      <c r="Q117" s="90">
        <v>80</v>
      </c>
      <c r="R117" s="90">
        <v>24820</v>
      </c>
      <c r="S117" s="130">
        <v>5200</v>
      </c>
      <c r="T117" s="90">
        <f t="shared" si="4"/>
        <v>19620</v>
      </c>
      <c r="U117" s="92">
        <f t="shared" si="5"/>
        <v>17836.363636363632</v>
      </c>
      <c r="V117" s="92">
        <f t="shared" si="6"/>
        <v>713454545.45454538</v>
      </c>
      <c r="W117" s="92">
        <f t="shared" si="7"/>
        <v>71345454.545454547</v>
      </c>
      <c r="Y117" s="115"/>
    </row>
    <row r="118" spans="1:25" s="94" customFormat="1" ht="30" customHeight="1">
      <c r="A118" s="85">
        <v>108</v>
      </c>
      <c r="B118" s="86" t="s">
        <v>50</v>
      </c>
      <c r="C118" s="127" t="s">
        <v>43</v>
      </c>
      <c r="D118" s="127" t="s">
        <v>51</v>
      </c>
      <c r="E118" s="127" t="s">
        <v>52</v>
      </c>
      <c r="F118" s="117" t="s">
        <v>49</v>
      </c>
      <c r="G118" s="88">
        <v>46210</v>
      </c>
      <c r="H118" s="87" t="s">
        <v>687</v>
      </c>
      <c r="I118" s="88" t="s">
        <v>688</v>
      </c>
      <c r="J118" s="89" t="s">
        <v>689</v>
      </c>
      <c r="K118" s="89" t="s">
        <v>690</v>
      </c>
      <c r="L118" s="89" t="s">
        <v>551</v>
      </c>
      <c r="M118" s="118" t="s">
        <v>691</v>
      </c>
      <c r="N118" s="90">
        <v>20000</v>
      </c>
      <c r="O118" s="91">
        <v>46204</v>
      </c>
      <c r="P118" s="90" t="s">
        <v>286</v>
      </c>
      <c r="Q118" s="90">
        <v>80</v>
      </c>
      <c r="R118" s="90">
        <v>24820</v>
      </c>
      <c r="S118" s="130">
        <v>5200</v>
      </c>
      <c r="T118" s="90">
        <f t="shared" si="4"/>
        <v>19620</v>
      </c>
      <c r="U118" s="92">
        <f t="shared" si="5"/>
        <v>17836.363636363632</v>
      </c>
      <c r="V118" s="92">
        <f t="shared" si="6"/>
        <v>356727272.72727269</v>
      </c>
      <c r="W118" s="92">
        <f t="shared" si="7"/>
        <v>35672727.272727273</v>
      </c>
      <c r="Y118" s="115"/>
    </row>
    <row r="119" spans="1:25" s="94" customFormat="1" ht="30" customHeight="1">
      <c r="A119" s="85">
        <v>109</v>
      </c>
      <c r="B119" s="86" t="s">
        <v>50</v>
      </c>
      <c r="C119" s="127" t="s">
        <v>43</v>
      </c>
      <c r="D119" s="127" t="s">
        <v>51</v>
      </c>
      <c r="E119" s="127" t="s">
        <v>54</v>
      </c>
      <c r="F119" s="117" t="s">
        <v>49</v>
      </c>
      <c r="G119" s="88">
        <v>46210</v>
      </c>
      <c r="H119" s="87" t="s">
        <v>713</v>
      </c>
      <c r="I119" s="88" t="s">
        <v>714</v>
      </c>
      <c r="J119" s="89" t="s">
        <v>2481</v>
      </c>
      <c r="K119" s="89" t="s">
        <v>715</v>
      </c>
      <c r="L119" s="89" t="s">
        <v>679</v>
      </c>
      <c r="M119" s="118" t="s">
        <v>716</v>
      </c>
      <c r="N119" s="90">
        <v>20000</v>
      </c>
      <c r="O119" s="91">
        <v>46204</v>
      </c>
      <c r="P119" s="90" t="s">
        <v>286</v>
      </c>
      <c r="Q119" s="90">
        <v>80</v>
      </c>
      <c r="R119" s="90">
        <v>25360</v>
      </c>
      <c r="S119" s="130">
        <v>5200</v>
      </c>
      <c r="T119" s="90">
        <f t="shared" si="4"/>
        <v>20160</v>
      </c>
      <c r="U119" s="92">
        <f t="shared" si="5"/>
        <v>18327.272727272724</v>
      </c>
      <c r="V119" s="92">
        <f t="shared" si="6"/>
        <v>366545454.5454545</v>
      </c>
      <c r="W119" s="92">
        <f t="shared" si="7"/>
        <v>36654545.454545453</v>
      </c>
      <c r="Y119" s="115"/>
    </row>
    <row r="120" spans="1:25" s="94" customFormat="1" ht="30" customHeight="1">
      <c r="A120" s="85">
        <v>110</v>
      </c>
      <c r="B120" s="86" t="s">
        <v>50</v>
      </c>
      <c r="C120" s="127" t="s">
        <v>43</v>
      </c>
      <c r="D120" s="127" t="s">
        <v>51</v>
      </c>
      <c r="E120" s="127" t="s">
        <v>54</v>
      </c>
      <c r="F120" s="117" t="s">
        <v>49</v>
      </c>
      <c r="G120" s="88">
        <v>46210</v>
      </c>
      <c r="H120" s="87" t="s">
        <v>717</v>
      </c>
      <c r="I120" s="88" t="s">
        <v>718</v>
      </c>
      <c r="J120" s="89" t="s">
        <v>2482</v>
      </c>
      <c r="K120" s="89" t="s">
        <v>719</v>
      </c>
      <c r="L120" s="89" t="s">
        <v>679</v>
      </c>
      <c r="M120" s="118" t="s">
        <v>720</v>
      </c>
      <c r="N120" s="90">
        <v>20000</v>
      </c>
      <c r="O120" s="91">
        <v>46204</v>
      </c>
      <c r="P120" s="90" t="s">
        <v>286</v>
      </c>
      <c r="Q120" s="90">
        <v>80</v>
      </c>
      <c r="R120" s="90">
        <v>25410</v>
      </c>
      <c r="S120" s="130">
        <v>5200</v>
      </c>
      <c r="T120" s="90">
        <f t="shared" si="4"/>
        <v>20210</v>
      </c>
      <c r="U120" s="92">
        <f t="shared" si="5"/>
        <v>18372.727272727268</v>
      </c>
      <c r="V120" s="92">
        <f t="shared" si="6"/>
        <v>367454545.45454538</v>
      </c>
      <c r="W120" s="92">
        <f t="shared" si="7"/>
        <v>36745454.545454539</v>
      </c>
      <c r="Y120" s="115"/>
    </row>
    <row r="121" spans="1:25" s="94" customFormat="1" ht="30" customHeight="1">
      <c r="A121" s="85">
        <v>111</v>
      </c>
      <c r="B121" s="86" t="s">
        <v>50</v>
      </c>
      <c r="C121" s="127" t="s">
        <v>43</v>
      </c>
      <c r="D121" s="127" t="s">
        <v>51</v>
      </c>
      <c r="E121" s="127" t="s">
        <v>61</v>
      </c>
      <c r="F121" s="117" t="s">
        <v>49</v>
      </c>
      <c r="G121" s="88">
        <v>46210</v>
      </c>
      <c r="H121" s="87" t="s">
        <v>721</v>
      </c>
      <c r="I121" s="88" t="s">
        <v>722</v>
      </c>
      <c r="J121" s="89" t="s">
        <v>2437</v>
      </c>
      <c r="K121" s="89" t="s">
        <v>723</v>
      </c>
      <c r="L121" s="89" t="s">
        <v>679</v>
      </c>
      <c r="M121" s="118" t="s">
        <v>724</v>
      </c>
      <c r="N121" s="90">
        <v>20000</v>
      </c>
      <c r="O121" s="91">
        <v>46204</v>
      </c>
      <c r="P121" s="90" t="s">
        <v>286</v>
      </c>
      <c r="Q121" s="90">
        <v>80</v>
      </c>
      <c r="R121" s="90">
        <v>25010</v>
      </c>
      <c r="S121" s="130">
        <v>5200</v>
      </c>
      <c r="T121" s="90">
        <f t="shared" si="4"/>
        <v>19810</v>
      </c>
      <c r="U121" s="92">
        <f t="shared" si="5"/>
        <v>18009.090909090908</v>
      </c>
      <c r="V121" s="92">
        <f t="shared" si="6"/>
        <v>360181818.18181813</v>
      </c>
      <c r="W121" s="92">
        <f t="shared" si="7"/>
        <v>36018181.818181813</v>
      </c>
      <c r="Y121" s="115"/>
    </row>
    <row r="122" spans="1:25" s="94" customFormat="1" ht="30" customHeight="1">
      <c r="A122" s="85">
        <v>112</v>
      </c>
      <c r="B122" s="86" t="s">
        <v>50</v>
      </c>
      <c r="C122" s="127" t="s">
        <v>43</v>
      </c>
      <c r="D122" s="127" t="s">
        <v>51</v>
      </c>
      <c r="E122" s="127" t="s">
        <v>52</v>
      </c>
      <c r="F122" s="117" t="s">
        <v>49</v>
      </c>
      <c r="G122" s="88">
        <v>46210</v>
      </c>
      <c r="H122" s="87" t="s">
        <v>725</v>
      </c>
      <c r="I122" s="88" t="s">
        <v>726</v>
      </c>
      <c r="J122" s="89" t="s">
        <v>727</v>
      </c>
      <c r="K122" s="89" t="s">
        <v>728</v>
      </c>
      <c r="L122" s="89" t="s">
        <v>679</v>
      </c>
      <c r="M122" s="118" t="s">
        <v>729</v>
      </c>
      <c r="N122" s="90">
        <v>8000</v>
      </c>
      <c r="O122" s="91">
        <v>46204</v>
      </c>
      <c r="P122" s="90" t="s">
        <v>286</v>
      </c>
      <c r="Q122" s="90">
        <v>80</v>
      </c>
      <c r="R122" s="90">
        <v>24820</v>
      </c>
      <c r="S122" s="130">
        <v>5200</v>
      </c>
      <c r="T122" s="90">
        <f t="shared" si="4"/>
        <v>19620</v>
      </c>
      <c r="U122" s="92">
        <f t="shared" si="5"/>
        <v>17836.363636363632</v>
      </c>
      <c r="V122" s="92">
        <f t="shared" si="6"/>
        <v>142690909.09090906</v>
      </c>
      <c r="W122" s="92">
        <f t="shared" si="7"/>
        <v>14269090.909090906</v>
      </c>
      <c r="Y122" s="115"/>
    </row>
    <row r="123" spans="1:25" s="94" customFormat="1" ht="30" customHeight="1">
      <c r="A123" s="85">
        <v>113</v>
      </c>
      <c r="B123" s="86" t="s">
        <v>422</v>
      </c>
      <c r="C123" s="127" t="s">
        <v>43</v>
      </c>
      <c r="D123" s="127" t="s">
        <v>51</v>
      </c>
      <c r="E123" s="127" t="s">
        <v>55</v>
      </c>
      <c r="F123" s="117" t="s">
        <v>423</v>
      </c>
      <c r="G123" s="88">
        <v>46210</v>
      </c>
      <c r="H123" s="87" t="s">
        <v>746</v>
      </c>
      <c r="I123" s="88" t="s">
        <v>747</v>
      </c>
      <c r="J123" s="89" t="s">
        <v>2554</v>
      </c>
      <c r="K123" s="89" t="s">
        <v>748</v>
      </c>
      <c r="L123" s="89" t="s">
        <v>679</v>
      </c>
      <c r="M123" s="118"/>
      <c r="N123" s="90">
        <v>40000</v>
      </c>
      <c r="O123" s="91">
        <v>46204</v>
      </c>
      <c r="P123" s="90" t="s">
        <v>286</v>
      </c>
      <c r="Q123" s="90">
        <v>80</v>
      </c>
      <c r="R123" s="90">
        <v>25110</v>
      </c>
      <c r="S123" s="130">
        <v>4800</v>
      </c>
      <c r="T123" s="90">
        <f t="shared" si="4"/>
        <v>20310</v>
      </c>
      <c r="U123" s="92">
        <f t="shared" si="5"/>
        <v>18463.63636363636</v>
      </c>
      <c r="V123" s="92">
        <f t="shared" si="6"/>
        <v>738545454.54545438</v>
      </c>
      <c r="W123" s="92">
        <f t="shared" si="7"/>
        <v>73854545.454545438</v>
      </c>
      <c r="Y123" s="115"/>
    </row>
    <row r="124" spans="1:25" s="94" customFormat="1" ht="30" customHeight="1">
      <c r="A124" s="85">
        <v>114</v>
      </c>
      <c r="B124" s="86" t="s">
        <v>375</v>
      </c>
      <c r="C124" s="127" t="s">
        <v>43</v>
      </c>
      <c r="D124" s="127" t="s">
        <v>51</v>
      </c>
      <c r="E124" s="127" t="s">
        <v>55</v>
      </c>
      <c r="F124" s="117" t="s">
        <v>376</v>
      </c>
      <c r="G124" s="88">
        <v>46211</v>
      </c>
      <c r="H124" s="87" t="s">
        <v>757</v>
      </c>
      <c r="I124" s="88" t="s">
        <v>759</v>
      </c>
      <c r="J124" s="89" t="s">
        <v>2622</v>
      </c>
      <c r="K124" s="89" t="s">
        <v>761</v>
      </c>
      <c r="L124" s="89" t="s">
        <v>763</v>
      </c>
      <c r="M124" s="118"/>
      <c r="N124" s="90">
        <v>40000</v>
      </c>
      <c r="O124" s="91">
        <v>46211</v>
      </c>
      <c r="P124" s="90" t="s">
        <v>965</v>
      </c>
      <c r="Q124" s="90">
        <v>80</v>
      </c>
      <c r="R124" s="90">
        <v>24880</v>
      </c>
      <c r="S124" s="130">
        <v>4800</v>
      </c>
      <c r="T124" s="90">
        <f t="shared" si="4"/>
        <v>20080</v>
      </c>
      <c r="U124" s="92">
        <f t="shared" si="5"/>
        <v>18254.545454545452</v>
      </c>
      <c r="V124" s="92">
        <f t="shared" si="6"/>
        <v>730181818.18181813</v>
      </c>
      <c r="W124" s="92">
        <f t="shared" si="7"/>
        <v>73018181.818181813</v>
      </c>
      <c r="Y124" s="115"/>
    </row>
    <row r="125" spans="1:25" s="94" customFormat="1" ht="30" customHeight="1">
      <c r="A125" s="85">
        <v>115</v>
      </c>
      <c r="B125" s="86" t="s">
        <v>375</v>
      </c>
      <c r="C125" s="127" t="s">
        <v>43</v>
      </c>
      <c r="D125" s="127" t="s">
        <v>51</v>
      </c>
      <c r="E125" s="127" t="s">
        <v>55</v>
      </c>
      <c r="F125" s="117" t="s">
        <v>376</v>
      </c>
      <c r="G125" s="88">
        <v>46211</v>
      </c>
      <c r="H125" s="87" t="s">
        <v>758</v>
      </c>
      <c r="I125" s="88" t="s">
        <v>760</v>
      </c>
      <c r="J125" s="89" t="s">
        <v>2621</v>
      </c>
      <c r="K125" s="89" t="s">
        <v>761</v>
      </c>
      <c r="L125" s="89" t="s">
        <v>763</v>
      </c>
      <c r="M125" s="118"/>
      <c r="N125" s="90">
        <v>20000</v>
      </c>
      <c r="O125" s="91">
        <v>46211</v>
      </c>
      <c r="P125" s="90" t="s">
        <v>965</v>
      </c>
      <c r="Q125" s="90">
        <v>80</v>
      </c>
      <c r="R125" s="90">
        <v>24880</v>
      </c>
      <c r="S125" s="130">
        <v>4800</v>
      </c>
      <c r="T125" s="90">
        <f t="shared" si="4"/>
        <v>20080</v>
      </c>
      <c r="U125" s="92">
        <f t="shared" si="5"/>
        <v>18254.545454545452</v>
      </c>
      <c r="V125" s="92">
        <f t="shared" si="6"/>
        <v>365090909.09090906</v>
      </c>
      <c r="W125" s="92">
        <f t="shared" si="7"/>
        <v>36509090.909090906</v>
      </c>
      <c r="Y125" s="115"/>
    </row>
    <row r="126" spans="1:25" s="94" customFormat="1" ht="30" customHeight="1">
      <c r="A126" s="85">
        <v>116</v>
      </c>
      <c r="B126" s="86" t="s">
        <v>50</v>
      </c>
      <c r="C126" s="127" t="s">
        <v>43</v>
      </c>
      <c r="D126" s="127" t="s">
        <v>51</v>
      </c>
      <c r="E126" s="127" t="s">
        <v>54</v>
      </c>
      <c r="F126" s="117" t="s">
        <v>49</v>
      </c>
      <c r="G126" s="88">
        <v>46211</v>
      </c>
      <c r="H126" s="87" t="s">
        <v>767</v>
      </c>
      <c r="I126" s="88" t="s">
        <v>768</v>
      </c>
      <c r="J126" s="89" t="s">
        <v>2483</v>
      </c>
      <c r="K126" s="89" t="s">
        <v>769</v>
      </c>
      <c r="L126" s="89" t="s">
        <v>763</v>
      </c>
      <c r="M126" s="118"/>
      <c r="N126" s="90">
        <v>20000</v>
      </c>
      <c r="O126" s="91">
        <v>46211</v>
      </c>
      <c r="P126" s="90" t="s">
        <v>965</v>
      </c>
      <c r="Q126" s="90">
        <v>80</v>
      </c>
      <c r="R126" s="90">
        <v>25330</v>
      </c>
      <c r="S126" s="130">
        <v>4900</v>
      </c>
      <c r="T126" s="90">
        <f t="shared" si="4"/>
        <v>20430</v>
      </c>
      <c r="U126" s="92">
        <f t="shared" si="5"/>
        <v>18572.727272727268</v>
      </c>
      <c r="V126" s="92">
        <f t="shared" si="6"/>
        <v>371454545.45454538</v>
      </c>
      <c r="W126" s="92">
        <f t="shared" si="7"/>
        <v>37145454.545454539</v>
      </c>
      <c r="Y126" s="115"/>
    </row>
    <row r="127" spans="1:25" s="94" customFormat="1" ht="30" customHeight="1">
      <c r="A127" s="85">
        <v>117</v>
      </c>
      <c r="B127" s="86" t="s">
        <v>50</v>
      </c>
      <c r="C127" s="127" t="s">
        <v>43</v>
      </c>
      <c r="D127" s="127" t="s">
        <v>51</v>
      </c>
      <c r="E127" s="127" t="s">
        <v>55</v>
      </c>
      <c r="F127" s="117" t="s">
        <v>49</v>
      </c>
      <c r="G127" s="88">
        <v>46211</v>
      </c>
      <c r="H127" s="87" t="s">
        <v>770</v>
      </c>
      <c r="I127" s="88" t="s">
        <v>771</v>
      </c>
      <c r="J127" s="89" t="s">
        <v>2620</v>
      </c>
      <c r="K127" s="89" t="s">
        <v>772</v>
      </c>
      <c r="L127" s="89" t="s">
        <v>763</v>
      </c>
      <c r="M127" s="118" t="s">
        <v>773</v>
      </c>
      <c r="N127" s="90">
        <v>20000</v>
      </c>
      <c r="O127" s="91">
        <v>46211</v>
      </c>
      <c r="P127" s="90" t="s">
        <v>965</v>
      </c>
      <c r="Q127" s="90">
        <v>80</v>
      </c>
      <c r="R127" s="90">
        <v>24880</v>
      </c>
      <c r="S127" s="130">
        <v>5200</v>
      </c>
      <c r="T127" s="90">
        <f t="shared" si="4"/>
        <v>19680</v>
      </c>
      <c r="U127" s="92">
        <f t="shared" si="5"/>
        <v>17890.909090909088</v>
      </c>
      <c r="V127" s="92">
        <f t="shared" si="6"/>
        <v>357818181.81818175</v>
      </c>
      <c r="W127" s="92">
        <f t="shared" si="7"/>
        <v>35781818.18181818</v>
      </c>
      <c r="Y127" s="115"/>
    </row>
    <row r="128" spans="1:25" s="94" customFormat="1" ht="30" customHeight="1">
      <c r="A128" s="85">
        <v>118</v>
      </c>
      <c r="B128" s="86" t="s">
        <v>50</v>
      </c>
      <c r="C128" s="127" t="s">
        <v>43</v>
      </c>
      <c r="D128" s="127" t="s">
        <v>51</v>
      </c>
      <c r="E128" s="127" t="s">
        <v>53</v>
      </c>
      <c r="F128" s="117" t="s">
        <v>49</v>
      </c>
      <c r="G128" s="88">
        <v>46211</v>
      </c>
      <c r="H128" s="87" t="s">
        <v>774</v>
      </c>
      <c r="I128" s="88" t="s">
        <v>776</v>
      </c>
      <c r="J128" s="89" t="s">
        <v>2287</v>
      </c>
      <c r="K128" s="89" t="s">
        <v>775</v>
      </c>
      <c r="L128" s="89" t="s">
        <v>762</v>
      </c>
      <c r="M128" s="118" t="s">
        <v>780</v>
      </c>
      <c r="N128" s="90">
        <v>20000</v>
      </c>
      <c r="O128" s="91">
        <v>46211</v>
      </c>
      <c r="P128" s="90" t="s">
        <v>965</v>
      </c>
      <c r="Q128" s="90">
        <v>80</v>
      </c>
      <c r="R128" s="90">
        <v>24850</v>
      </c>
      <c r="S128" s="130">
        <v>5200</v>
      </c>
      <c r="T128" s="90">
        <f t="shared" si="4"/>
        <v>19650</v>
      </c>
      <c r="U128" s="92">
        <f t="shared" si="5"/>
        <v>17863.63636363636</v>
      </c>
      <c r="V128" s="92">
        <f t="shared" si="6"/>
        <v>357272727.27272719</v>
      </c>
      <c r="W128" s="92">
        <f t="shared" si="7"/>
        <v>35727272.727272719</v>
      </c>
      <c r="Y128" s="115"/>
    </row>
    <row r="129" spans="1:25" s="94" customFormat="1" ht="30" customHeight="1">
      <c r="A129" s="85">
        <v>119</v>
      </c>
      <c r="B129" s="86" t="s">
        <v>50</v>
      </c>
      <c r="C129" s="127" t="s">
        <v>43</v>
      </c>
      <c r="D129" s="127" t="s">
        <v>51</v>
      </c>
      <c r="E129" s="127" t="s">
        <v>53</v>
      </c>
      <c r="F129" s="117" t="s">
        <v>49</v>
      </c>
      <c r="G129" s="88">
        <v>46211</v>
      </c>
      <c r="H129" s="87" t="s">
        <v>781</v>
      </c>
      <c r="I129" s="88" t="s">
        <v>783</v>
      </c>
      <c r="J129" s="89" t="s">
        <v>2286</v>
      </c>
      <c r="K129" s="89" t="s">
        <v>784</v>
      </c>
      <c r="L129" s="89" t="s">
        <v>762</v>
      </c>
      <c r="M129" s="118" t="s">
        <v>785</v>
      </c>
      <c r="N129" s="90">
        <v>8000</v>
      </c>
      <c r="O129" s="91">
        <v>46211</v>
      </c>
      <c r="P129" s="90" t="s">
        <v>965</v>
      </c>
      <c r="Q129" s="90">
        <v>80</v>
      </c>
      <c r="R129" s="90">
        <v>24850</v>
      </c>
      <c r="S129" s="130">
        <v>5200</v>
      </c>
      <c r="T129" s="90">
        <f t="shared" si="4"/>
        <v>19650</v>
      </c>
      <c r="U129" s="92">
        <f t="shared" si="5"/>
        <v>17863.63636363636</v>
      </c>
      <c r="V129" s="92">
        <f t="shared" si="6"/>
        <v>142909090.90909088</v>
      </c>
      <c r="W129" s="92">
        <f t="shared" si="7"/>
        <v>14290909.090909088</v>
      </c>
      <c r="Y129" s="115"/>
    </row>
    <row r="130" spans="1:25" s="94" customFormat="1" ht="30" customHeight="1">
      <c r="A130" s="85">
        <v>120</v>
      </c>
      <c r="B130" s="86" t="s">
        <v>50</v>
      </c>
      <c r="C130" s="127" t="s">
        <v>43</v>
      </c>
      <c r="D130" s="127" t="s">
        <v>51</v>
      </c>
      <c r="E130" s="127" t="s">
        <v>53</v>
      </c>
      <c r="F130" s="117" t="s">
        <v>49</v>
      </c>
      <c r="G130" s="88">
        <v>46211</v>
      </c>
      <c r="H130" s="87" t="s">
        <v>781</v>
      </c>
      <c r="I130" s="88" t="s">
        <v>777</v>
      </c>
      <c r="J130" s="89" t="s">
        <v>2284</v>
      </c>
      <c r="K130" s="89" t="s">
        <v>786</v>
      </c>
      <c r="L130" s="89" t="s">
        <v>762</v>
      </c>
      <c r="M130" s="118" t="s">
        <v>787</v>
      </c>
      <c r="N130" s="90">
        <v>8000</v>
      </c>
      <c r="O130" s="91">
        <v>46211</v>
      </c>
      <c r="P130" s="90" t="s">
        <v>965</v>
      </c>
      <c r="Q130" s="90">
        <v>80</v>
      </c>
      <c r="R130" s="90">
        <v>24850</v>
      </c>
      <c r="S130" s="130">
        <v>5200</v>
      </c>
      <c r="T130" s="90">
        <f t="shared" si="4"/>
        <v>19650</v>
      </c>
      <c r="U130" s="92">
        <f t="shared" si="5"/>
        <v>17863.63636363636</v>
      </c>
      <c r="V130" s="92">
        <f t="shared" si="6"/>
        <v>142909090.90909088</v>
      </c>
      <c r="W130" s="92">
        <f t="shared" si="7"/>
        <v>14290909.090909088</v>
      </c>
      <c r="Y130" s="115"/>
    </row>
    <row r="131" spans="1:25" s="94" customFormat="1" ht="30" customHeight="1">
      <c r="A131" s="85">
        <v>121</v>
      </c>
      <c r="B131" s="86" t="s">
        <v>50</v>
      </c>
      <c r="C131" s="127" t="s">
        <v>43</v>
      </c>
      <c r="D131" s="127" t="s">
        <v>51</v>
      </c>
      <c r="E131" s="127" t="s">
        <v>53</v>
      </c>
      <c r="F131" s="117" t="s">
        <v>49</v>
      </c>
      <c r="G131" s="88">
        <v>46211</v>
      </c>
      <c r="H131" s="87" t="s">
        <v>788</v>
      </c>
      <c r="I131" s="88" t="s">
        <v>778</v>
      </c>
      <c r="J131" s="89" t="s">
        <v>2285</v>
      </c>
      <c r="K131" s="89" t="s">
        <v>789</v>
      </c>
      <c r="L131" s="89" t="s">
        <v>762</v>
      </c>
      <c r="M131" s="118" t="s">
        <v>790</v>
      </c>
      <c r="N131" s="90">
        <v>20000</v>
      </c>
      <c r="O131" s="91">
        <v>46211</v>
      </c>
      <c r="P131" s="90" t="s">
        <v>965</v>
      </c>
      <c r="Q131" s="90">
        <v>80</v>
      </c>
      <c r="R131" s="90">
        <v>24850</v>
      </c>
      <c r="S131" s="130">
        <v>5200</v>
      </c>
      <c r="T131" s="90">
        <f t="shared" si="4"/>
        <v>19650</v>
      </c>
      <c r="U131" s="92">
        <f t="shared" si="5"/>
        <v>17863.63636363636</v>
      </c>
      <c r="V131" s="92">
        <f t="shared" si="6"/>
        <v>357272727.27272719</v>
      </c>
      <c r="W131" s="92">
        <f t="shared" si="7"/>
        <v>35727272.727272719</v>
      </c>
      <c r="Y131" s="115"/>
    </row>
    <row r="132" spans="1:25" s="94" customFormat="1" ht="30" customHeight="1">
      <c r="A132" s="85">
        <v>122</v>
      </c>
      <c r="B132" s="86" t="s">
        <v>50</v>
      </c>
      <c r="C132" s="127" t="s">
        <v>43</v>
      </c>
      <c r="D132" s="127" t="s">
        <v>51</v>
      </c>
      <c r="E132" s="127" t="s">
        <v>52</v>
      </c>
      <c r="F132" s="117" t="s">
        <v>49</v>
      </c>
      <c r="G132" s="88">
        <v>46211</v>
      </c>
      <c r="H132" s="87" t="s">
        <v>791</v>
      </c>
      <c r="I132" s="88" t="s">
        <v>779</v>
      </c>
      <c r="J132" s="89" t="s">
        <v>792</v>
      </c>
      <c r="K132" s="89" t="s">
        <v>793</v>
      </c>
      <c r="L132" s="89" t="s">
        <v>762</v>
      </c>
      <c r="M132" s="118" t="s">
        <v>794</v>
      </c>
      <c r="N132" s="90">
        <v>20000</v>
      </c>
      <c r="O132" s="91">
        <v>46211</v>
      </c>
      <c r="P132" s="90" t="s">
        <v>965</v>
      </c>
      <c r="Q132" s="90">
        <v>80</v>
      </c>
      <c r="R132" s="90">
        <v>24820</v>
      </c>
      <c r="S132" s="130">
        <v>5200</v>
      </c>
      <c r="T132" s="90">
        <f t="shared" si="4"/>
        <v>19620</v>
      </c>
      <c r="U132" s="92">
        <f t="shared" si="5"/>
        <v>17836.363636363632</v>
      </c>
      <c r="V132" s="92">
        <f t="shared" si="6"/>
        <v>356727272.72727269</v>
      </c>
      <c r="W132" s="92">
        <f t="shared" si="7"/>
        <v>35672727.272727273</v>
      </c>
      <c r="Y132" s="115"/>
    </row>
    <row r="133" spans="1:25" s="94" customFormat="1" ht="30" customHeight="1">
      <c r="A133" s="85">
        <v>123</v>
      </c>
      <c r="B133" s="86" t="s">
        <v>50</v>
      </c>
      <c r="C133" s="127" t="s">
        <v>43</v>
      </c>
      <c r="D133" s="127" t="s">
        <v>51</v>
      </c>
      <c r="E133" s="127" t="s">
        <v>54</v>
      </c>
      <c r="F133" s="117" t="s">
        <v>49</v>
      </c>
      <c r="G133" s="88">
        <v>46211</v>
      </c>
      <c r="H133" s="87" t="s">
        <v>795</v>
      </c>
      <c r="I133" s="88" t="s">
        <v>782</v>
      </c>
      <c r="J133" s="89" t="s">
        <v>2485</v>
      </c>
      <c r="K133" s="89" t="s">
        <v>796</v>
      </c>
      <c r="L133" s="89" t="s">
        <v>762</v>
      </c>
      <c r="M133" s="118" t="s">
        <v>797</v>
      </c>
      <c r="N133" s="90">
        <v>20000</v>
      </c>
      <c r="O133" s="91">
        <v>46211</v>
      </c>
      <c r="P133" s="90" t="s">
        <v>965</v>
      </c>
      <c r="Q133" s="90">
        <v>80</v>
      </c>
      <c r="R133" s="90">
        <v>25370</v>
      </c>
      <c r="S133" s="130">
        <v>5200</v>
      </c>
      <c r="T133" s="90">
        <f t="shared" si="4"/>
        <v>20170</v>
      </c>
      <c r="U133" s="92">
        <f t="shared" si="5"/>
        <v>18336.363636363632</v>
      </c>
      <c r="V133" s="92">
        <f t="shared" si="6"/>
        <v>366727272.72727269</v>
      </c>
      <c r="W133" s="92">
        <f t="shared" si="7"/>
        <v>36672727.272727273</v>
      </c>
      <c r="Y133" s="115"/>
    </row>
    <row r="134" spans="1:25" s="94" customFormat="1" ht="30" customHeight="1">
      <c r="A134" s="85">
        <v>124</v>
      </c>
      <c r="B134" s="86" t="s">
        <v>50</v>
      </c>
      <c r="C134" s="127" t="s">
        <v>43</v>
      </c>
      <c r="D134" s="127" t="s">
        <v>51</v>
      </c>
      <c r="E134" s="127" t="s">
        <v>54</v>
      </c>
      <c r="F134" s="117" t="s">
        <v>49</v>
      </c>
      <c r="G134" s="88">
        <v>46211</v>
      </c>
      <c r="H134" s="87" t="s">
        <v>803</v>
      </c>
      <c r="I134" s="88" t="s">
        <v>798</v>
      </c>
      <c r="J134" s="89" t="s">
        <v>2484</v>
      </c>
      <c r="K134" s="89" t="s">
        <v>804</v>
      </c>
      <c r="L134" s="89" t="s">
        <v>763</v>
      </c>
      <c r="M134" s="118" t="s">
        <v>805</v>
      </c>
      <c r="N134" s="90">
        <v>40000</v>
      </c>
      <c r="O134" s="91">
        <v>46211</v>
      </c>
      <c r="P134" s="90" t="s">
        <v>965</v>
      </c>
      <c r="Q134" s="90">
        <v>80</v>
      </c>
      <c r="R134" s="90">
        <v>25090</v>
      </c>
      <c r="S134" s="130">
        <v>5200</v>
      </c>
      <c r="T134" s="90">
        <f t="shared" si="4"/>
        <v>19890</v>
      </c>
      <c r="U134" s="92">
        <f t="shared" si="5"/>
        <v>18081.81818181818</v>
      </c>
      <c r="V134" s="92">
        <f t="shared" si="6"/>
        <v>723272727.27272713</v>
      </c>
      <c r="W134" s="92">
        <f t="shared" si="7"/>
        <v>72327272.727272719</v>
      </c>
      <c r="Y134" s="115"/>
    </row>
    <row r="135" spans="1:25" s="94" customFormat="1" ht="30" customHeight="1">
      <c r="A135" s="85">
        <v>125</v>
      </c>
      <c r="B135" s="86" t="s">
        <v>50</v>
      </c>
      <c r="C135" s="127" t="s">
        <v>43</v>
      </c>
      <c r="D135" s="127" t="s">
        <v>51</v>
      </c>
      <c r="E135" s="127" t="s">
        <v>52</v>
      </c>
      <c r="F135" s="117" t="s">
        <v>49</v>
      </c>
      <c r="G135" s="88">
        <v>46211</v>
      </c>
      <c r="H135" s="87" t="s">
        <v>806</v>
      </c>
      <c r="I135" s="88" t="s">
        <v>799</v>
      </c>
      <c r="J135" s="89" t="s">
        <v>808</v>
      </c>
      <c r="K135" s="89" t="s">
        <v>810</v>
      </c>
      <c r="L135" s="89" t="s">
        <v>762</v>
      </c>
      <c r="M135" s="118" t="s">
        <v>811</v>
      </c>
      <c r="N135" s="90">
        <v>6000</v>
      </c>
      <c r="O135" s="91">
        <v>46211</v>
      </c>
      <c r="P135" s="90" t="s">
        <v>965</v>
      </c>
      <c r="Q135" s="90">
        <v>80</v>
      </c>
      <c r="R135" s="90">
        <v>24820</v>
      </c>
      <c r="S135" s="130">
        <v>5200</v>
      </c>
      <c r="T135" s="90">
        <f t="shared" si="4"/>
        <v>19620</v>
      </c>
      <c r="U135" s="92">
        <f t="shared" si="5"/>
        <v>17836.363636363632</v>
      </c>
      <c r="V135" s="92">
        <f t="shared" si="6"/>
        <v>107018181.8181818</v>
      </c>
      <c r="W135" s="92">
        <f t="shared" si="7"/>
        <v>10701818.18181818</v>
      </c>
      <c r="Y135" s="115"/>
    </row>
    <row r="136" spans="1:25" s="94" customFormat="1" ht="30" customHeight="1">
      <c r="A136" s="85">
        <v>126</v>
      </c>
      <c r="B136" s="86" t="s">
        <v>50</v>
      </c>
      <c r="C136" s="127">
        <v>91</v>
      </c>
      <c r="D136" s="127" t="s">
        <v>51</v>
      </c>
      <c r="E136" s="127" t="s">
        <v>52</v>
      </c>
      <c r="F136" s="117" t="s">
        <v>49</v>
      </c>
      <c r="G136" s="88">
        <v>46211</v>
      </c>
      <c r="H136" s="87" t="s">
        <v>807</v>
      </c>
      <c r="I136" s="88" t="s">
        <v>800</v>
      </c>
      <c r="J136" s="89" t="s">
        <v>809</v>
      </c>
      <c r="K136" s="89" t="s">
        <v>810</v>
      </c>
      <c r="L136" s="89" t="s">
        <v>762</v>
      </c>
      <c r="M136" s="118" t="s">
        <v>811</v>
      </c>
      <c r="N136" s="90">
        <v>4000</v>
      </c>
      <c r="O136" s="91">
        <v>46211</v>
      </c>
      <c r="P136" s="90" t="s">
        <v>965</v>
      </c>
      <c r="Q136" s="90">
        <v>80</v>
      </c>
      <c r="R136" s="90">
        <v>30040</v>
      </c>
      <c r="S136" s="130">
        <v>3600</v>
      </c>
      <c r="T136" s="90">
        <f t="shared" si="4"/>
        <v>26440</v>
      </c>
      <c r="U136" s="92">
        <f t="shared" si="5"/>
        <v>24036.363636363632</v>
      </c>
      <c r="V136" s="92">
        <f t="shared" si="6"/>
        <v>96145454.545454532</v>
      </c>
      <c r="W136" s="92">
        <f t="shared" si="7"/>
        <v>9614545.4545454532</v>
      </c>
      <c r="Y136" s="115"/>
    </row>
    <row r="137" spans="1:25" s="94" customFormat="1" ht="30" customHeight="1">
      <c r="A137" s="85">
        <v>127</v>
      </c>
      <c r="B137" s="86" t="s">
        <v>50</v>
      </c>
      <c r="C137" s="127" t="s">
        <v>43</v>
      </c>
      <c r="D137" s="127" t="s">
        <v>51</v>
      </c>
      <c r="E137" s="127" t="s">
        <v>54</v>
      </c>
      <c r="F137" s="117" t="s">
        <v>49</v>
      </c>
      <c r="G137" s="88">
        <v>46211</v>
      </c>
      <c r="H137" s="87" t="s">
        <v>812</v>
      </c>
      <c r="I137" s="88" t="s">
        <v>801</v>
      </c>
      <c r="J137" s="89" t="s">
        <v>2486</v>
      </c>
      <c r="K137" s="89" t="s">
        <v>813</v>
      </c>
      <c r="L137" s="89" t="s">
        <v>762</v>
      </c>
      <c r="M137" s="118" t="s">
        <v>814</v>
      </c>
      <c r="N137" s="90">
        <v>20000</v>
      </c>
      <c r="O137" s="91">
        <v>46211</v>
      </c>
      <c r="P137" s="90" t="s">
        <v>965</v>
      </c>
      <c r="Q137" s="90">
        <v>80</v>
      </c>
      <c r="R137" s="90">
        <v>25330</v>
      </c>
      <c r="S137" s="130">
        <v>4900</v>
      </c>
      <c r="T137" s="90">
        <f t="shared" si="4"/>
        <v>20430</v>
      </c>
      <c r="U137" s="92">
        <f t="shared" si="5"/>
        <v>18572.727272727268</v>
      </c>
      <c r="V137" s="92">
        <f t="shared" si="6"/>
        <v>371454545.45454538</v>
      </c>
      <c r="W137" s="92">
        <f t="shared" si="7"/>
        <v>37145454.545454539</v>
      </c>
      <c r="Y137" s="115"/>
    </row>
    <row r="138" spans="1:25" s="94" customFormat="1" ht="30" customHeight="1">
      <c r="A138" s="85">
        <v>128</v>
      </c>
      <c r="B138" s="86" t="s">
        <v>50</v>
      </c>
      <c r="C138" s="127" t="s">
        <v>43</v>
      </c>
      <c r="D138" s="127" t="s">
        <v>51</v>
      </c>
      <c r="E138" s="127" t="s">
        <v>54</v>
      </c>
      <c r="F138" s="117" t="s">
        <v>49</v>
      </c>
      <c r="G138" s="88">
        <v>46211</v>
      </c>
      <c r="H138" s="87" t="s">
        <v>815</v>
      </c>
      <c r="I138" s="88" t="s">
        <v>802</v>
      </c>
      <c r="J138" s="89" t="s">
        <v>2487</v>
      </c>
      <c r="K138" s="89" t="s">
        <v>816</v>
      </c>
      <c r="L138" s="89" t="s">
        <v>762</v>
      </c>
      <c r="M138" s="118" t="s">
        <v>817</v>
      </c>
      <c r="N138" s="90">
        <v>20000</v>
      </c>
      <c r="O138" s="91">
        <v>46211</v>
      </c>
      <c r="P138" s="90" t="s">
        <v>965</v>
      </c>
      <c r="Q138" s="90">
        <v>80</v>
      </c>
      <c r="R138" s="90">
        <v>25330</v>
      </c>
      <c r="S138" s="130">
        <v>4900</v>
      </c>
      <c r="T138" s="90">
        <f t="shared" si="4"/>
        <v>20430</v>
      </c>
      <c r="U138" s="92">
        <f t="shared" si="5"/>
        <v>18572.727272727268</v>
      </c>
      <c r="V138" s="92">
        <f t="shared" si="6"/>
        <v>371454545.45454538</v>
      </c>
      <c r="W138" s="92">
        <f t="shared" si="7"/>
        <v>37145454.545454539</v>
      </c>
      <c r="Y138" s="115"/>
    </row>
    <row r="139" spans="1:25" s="94" customFormat="1" ht="30" customHeight="1">
      <c r="A139" s="85">
        <v>129</v>
      </c>
      <c r="B139" s="86" t="s">
        <v>50</v>
      </c>
      <c r="C139" s="127" t="s">
        <v>43</v>
      </c>
      <c r="D139" s="127" t="s">
        <v>51</v>
      </c>
      <c r="E139" s="127" t="s">
        <v>55</v>
      </c>
      <c r="F139" s="117" t="s">
        <v>49</v>
      </c>
      <c r="G139" s="88">
        <v>46212</v>
      </c>
      <c r="H139" s="87" t="s">
        <v>831</v>
      </c>
      <c r="I139" s="88" t="s">
        <v>832</v>
      </c>
      <c r="J139" s="89" t="s">
        <v>2555</v>
      </c>
      <c r="K139" s="89" t="s">
        <v>833</v>
      </c>
      <c r="L139" s="89" t="s">
        <v>1019</v>
      </c>
      <c r="M139" s="118" t="s">
        <v>834</v>
      </c>
      <c r="N139" s="90">
        <v>40000</v>
      </c>
      <c r="O139" s="91">
        <v>46211</v>
      </c>
      <c r="P139" s="90" t="s">
        <v>965</v>
      </c>
      <c r="Q139" s="90">
        <v>80</v>
      </c>
      <c r="R139" s="90">
        <v>24880</v>
      </c>
      <c r="S139" s="130">
        <v>5200</v>
      </c>
      <c r="T139" s="90">
        <f t="shared" ref="T139:T202" si="8">+R139-S139</f>
        <v>19680</v>
      </c>
      <c r="U139" s="92">
        <f t="shared" ref="U139:U202" si="9">+T139*0.909090909090909</f>
        <v>17890.909090909088</v>
      </c>
      <c r="V139" s="92">
        <f t="shared" ref="V139:V202" si="10">+N139*T139*0.909090909090909</f>
        <v>715636363.63636351</v>
      </c>
      <c r="W139" s="92">
        <f t="shared" ref="W139:W202" si="11">+V139*10%</f>
        <v>71563636.36363636</v>
      </c>
      <c r="Y139" s="115"/>
    </row>
    <row r="140" spans="1:25" s="94" customFormat="1" ht="30" customHeight="1">
      <c r="A140" s="85">
        <v>130</v>
      </c>
      <c r="B140" s="86" t="s">
        <v>50</v>
      </c>
      <c r="C140" s="127" t="s">
        <v>43</v>
      </c>
      <c r="D140" s="127" t="s">
        <v>51</v>
      </c>
      <c r="E140" s="127" t="s">
        <v>54</v>
      </c>
      <c r="F140" s="117" t="s">
        <v>49</v>
      </c>
      <c r="G140" s="88">
        <v>46212</v>
      </c>
      <c r="H140" s="87" t="s">
        <v>847</v>
      </c>
      <c r="I140" s="88" t="s">
        <v>848</v>
      </c>
      <c r="J140" s="89" t="s">
        <v>2488</v>
      </c>
      <c r="K140" s="89" t="s">
        <v>849</v>
      </c>
      <c r="L140" s="89" t="s">
        <v>861</v>
      </c>
      <c r="M140" s="118" t="s">
        <v>850</v>
      </c>
      <c r="N140" s="90">
        <v>40000</v>
      </c>
      <c r="O140" s="91">
        <v>46211</v>
      </c>
      <c r="P140" s="90" t="s">
        <v>965</v>
      </c>
      <c r="Q140" s="90">
        <v>80</v>
      </c>
      <c r="R140" s="90">
        <v>25940</v>
      </c>
      <c r="S140" s="130">
        <v>5300</v>
      </c>
      <c r="T140" s="90">
        <f t="shared" si="8"/>
        <v>20640</v>
      </c>
      <c r="U140" s="92">
        <f t="shared" si="9"/>
        <v>18763.63636363636</v>
      </c>
      <c r="V140" s="92">
        <f t="shared" si="10"/>
        <v>750545454.54545438</v>
      </c>
      <c r="W140" s="92">
        <f t="shared" si="11"/>
        <v>75054545.454545438</v>
      </c>
      <c r="Y140" s="115"/>
    </row>
    <row r="141" spans="1:25" s="94" customFormat="1" ht="30" customHeight="1">
      <c r="A141" s="85">
        <v>131</v>
      </c>
      <c r="B141" s="86" t="s">
        <v>50</v>
      </c>
      <c r="C141" s="127" t="s">
        <v>43</v>
      </c>
      <c r="D141" s="127" t="s">
        <v>51</v>
      </c>
      <c r="E141" s="127" t="s">
        <v>54</v>
      </c>
      <c r="F141" s="117" t="s">
        <v>49</v>
      </c>
      <c r="G141" s="88">
        <v>46212</v>
      </c>
      <c r="H141" s="87" t="s">
        <v>851</v>
      </c>
      <c r="I141" s="88" t="s">
        <v>852</v>
      </c>
      <c r="J141" s="89" t="s">
        <v>2489</v>
      </c>
      <c r="K141" s="89" t="s">
        <v>853</v>
      </c>
      <c r="L141" s="89" t="s">
        <v>861</v>
      </c>
      <c r="M141" s="118" t="s">
        <v>854</v>
      </c>
      <c r="N141" s="90">
        <v>20000</v>
      </c>
      <c r="O141" s="91">
        <v>46211</v>
      </c>
      <c r="P141" s="90" t="s">
        <v>965</v>
      </c>
      <c r="Q141" s="90">
        <v>80</v>
      </c>
      <c r="R141" s="90">
        <v>26080</v>
      </c>
      <c r="S141" s="130">
        <v>5300</v>
      </c>
      <c r="T141" s="90">
        <f t="shared" si="8"/>
        <v>20780</v>
      </c>
      <c r="U141" s="92">
        <f t="shared" si="9"/>
        <v>18890.909090909088</v>
      </c>
      <c r="V141" s="92">
        <f t="shared" si="10"/>
        <v>377818181.81818175</v>
      </c>
      <c r="W141" s="92">
        <f t="shared" si="11"/>
        <v>37781818.18181818</v>
      </c>
      <c r="Y141" s="115"/>
    </row>
    <row r="142" spans="1:25" s="94" customFormat="1" ht="30" customHeight="1">
      <c r="A142" s="85">
        <v>132</v>
      </c>
      <c r="B142" s="86" t="s">
        <v>50</v>
      </c>
      <c r="C142" s="127" t="s">
        <v>43</v>
      </c>
      <c r="D142" s="127" t="s">
        <v>51</v>
      </c>
      <c r="E142" s="127" t="s">
        <v>53</v>
      </c>
      <c r="F142" s="117" t="s">
        <v>49</v>
      </c>
      <c r="G142" s="88">
        <v>46212</v>
      </c>
      <c r="H142" s="87" t="s">
        <v>858</v>
      </c>
      <c r="I142" s="88" t="s">
        <v>859</v>
      </c>
      <c r="J142" s="89" t="s">
        <v>2288</v>
      </c>
      <c r="K142" s="89" t="s">
        <v>860</v>
      </c>
      <c r="L142" s="89" t="s">
        <v>861</v>
      </c>
      <c r="M142" s="118" t="s">
        <v>862</v>
      </c>
      <c r="N142" s="90">
        <v>4000</v>
      </c>
      <c r="O142" s="91">
        <v>46211</v>
      </c>
      <c r="P142" s="90" t="s">
        <v>965</v>
      </c>
      <c r="Q142" s="90">
        <v>80</v>
      </c>
      <c r="R142" s="90">
        <v>25430</v>
      </c>
      <c r="S142" s="130">
        <v>5300</v>
      </c>
      <c r="T142" s="90">
        <f t="shared" si="8"/>
        <v>20130</v>
      </c>
      <c r="U142" s="92">
        <f t="shared" si="9"/>
        <v>18299.999999999996</v>
      </c>
      <c r="V142" s="92">
        <f t="shared" si="10"/>
        <v>73199999.999999985</v>
      </c>
      <c r="W142" s="92">
        <f t="shared" si="11"/>
        <v>7319999.9999999991</v>
      </c>
      <c r="Y142" s="115"/>
    </row>
    <row r="143" spans="1:25" s="94" customFormat="1" ht="30" customHeight="1">
      <c r="A143" s="85">
        <v>133</v>
      </c>
      <c r="B143" s="86" t="s">
        <v>50</v>
      </c>
      <c r="C143" s="127" t="s">
        <v>43</v>
      </c>
      <c r="D143" s="127" t="s">
        <v>51</v>
      </c>
      <c r="E143" s="127" t="s">
        <v>53</v>
      </c>
      <c r="F143" s="117" t="s">
        <v>49</v>
      </c>
      <c r="G143" s="88">
        <v>46212</v>
      </c>
      <c r="H143" s="87" t="s">
        <v>863</v>
      </c>
      <c r="I143" s="88" t="s">
        <v>864</v>
      </c>
      <c r="J143" s="89" t="s">
        <v>2466</v>
      </c>
      <c r="K143" s="89" t="s">
        <v>865</v>
      </c>
      <c r="L143" s="89" t="s">
        <v>861</v>
      </c>
      <c r="M143" s="118" t="s">
        <v>866</v>
      </c>
      <c r="N143" s="90">
        <v>8000</v>
      </c>
      <c r="O143" s="91">
        <v>46211</v>
      </c>
      <c r="P143" s="90" t="s">
        <v>965</v>
      </c>
      <c r="Q143" s="90">
        <v>80</v>
      </c>
      <c r="R143" s="90">
        <v>25430</v>
      </c>
      <c r="S143" s="130">
        <v>5300</v>
      </c>
      <c r="T143" s="90">
        <f t="shared" si="8"/>
        <v>20130</v>
      </c>
      <c r="U143" s="92">
        <f t="shared" si="9"/>
        <v>18299.999999999996</v>
      </c>
      <c r="V143" s="92">
        <f t="shared" si="10"/>
        <v>146399999.99999997</v>
      </c>
      <c r="W143" s="92">
        <f t="shared" si="11"/>
        <v>14639999.999999998</v>
      </c>
      <c r="Y143" s="115"/>
    </row>
    <row r="144" spans="1:25" s="94" customFormat="1" ht="30" customHeight="1">
      <c r="A144" s="85">
        <v>134</v>
      </c>
      <c r="B144" s="86" t="s">
        <v>50</v>
      </c>
      <c r="C144" s="127" t="s">
        <v>43</v>
      </c>
      <c r="D144" s="127" t="s">
        <v>51</v>
      </c>
      <c r="E144" s="127" t="s">
        <v>61</v>
      </c>
      <c r="F144" s="117" t="s">
        <v>49</v>
      </c>
      <c r="G144" s="88">
        <v>46212</v>
      </c>
      <c r="H144" s="87" t="s">
        <v>867</v>
      </c>
      <c r="I144" s="88" t="s">
        <v>868</v>
      </c>
      <c r="J144" s="89" t="s">
        <v>2436</v>
      </c>
      <c r="K144" s="89" t="s">
        <v>869</v>
      </c>
      <c r="L144" s="89" t="s">
        <v>861</v>
      </c>
      <c r="M144" s="118" t="s">
        <v>870</v>
      </c>
      <c r="N144" s="90">
        <v>16000</v>
      </c>
      <c r="O144" s="91">
        <v>46211</v>
      </c>
      <c r="P144" s="90" t="s">
        <v>965</v>
      </c>
      <c r="Q144" s="90">
        <v>80</v>
      </c>
      <c r="R144" s="90">
        <v>25950</v>
      </c>
      <c r="S144" s="130">
        <v>5100</v>
      </c>
      <c r="T144" s="90">
        <f t="shared" si="8"/>
        <v>20850</v>
      </c>
      <c r="U144" s="92">
        <f t="shared" si="9"/>
        <v>18954.545454545452</v>
      </c>
      <c r="V144" s="92">
        <f t="shared" si="10"/>
        <v>303272727.27272725</v>
      </c>
      <c r="W144" s="92">
        <f t="shared" si="11"/>
        <v>30327272.727272727</v>
      </c>
      <c r="Y144" s="115"/>
    </row>
    <row r="145" spans="1:25" s="94" customFormat="1" ht="30" customHeight="1">
      <c r="A145" s="85">
        <v>135</v>
      </c>
      <c r="B145" s="86" t="s">
        <v>50</v>
      </c>
      <c r="C145" s="127" t="s">
        <v>43</v>
      </c>
      <c r="D145" s="127" t="s">
        <v>51</v>
      </c>
      <c r="E145" s="127" t="s">
        <v>53</v>
      </c>
      <c r="F145" s="117" t="s">
        <v>49</v>
      </c>
      <c r="G145" s="88">
        <v>46212</v>
      </c>
      <c r="H145" s="87" t="s">
        <v>871</v>
      </c>
      <c r="I145" s="88" t="s">
        <v>872</v>
      </c>
      <c r="J145" s="89" t="s">
        <v>2289</v>
      </c>
      <c r="K145" s="89" t="s">
        <v>873</v>
      </c>
      <c r="L145" s="89" t="s">
        <v>861</v>
      </c>
      <c r="M145" s="118" t="s">
        <v>874</v>
      </c>
      <c r="N145" s="90">
        <v>1000</v>
      </c>
      <c r="O145" s="91">
        <v>46211</v>
      </c>
      <c r="P145" s="90" t="s">
        <v>965</v>
      </c>
      <c r="Q145" s="90">
        <v>80</v>
      </c>
      <c r="R145" s="90">
        <v>25430</v>
      </c>
      <c r="S145" s="130">
        <v>5200</v>
      </c>
      <c r="T145" s="90">
        <f t="shared" si="8"/>
        <v>20230</v>
      </c>
      <c r="U145" s="92">
        <f t="shared" si="9"/>
        <v>18390.909090909088</v>
      </c>
      <c r="V145" s="92">
        <f t="shared" si="10"/>
        <v>18390909.09090909</v>
      </c>
      <c r="W145" s="92">
        <f t="shared" si="11"/>
        <v>1839090.9090909092</v>
      </c>
      <c r="Y145" s="115"/>
    </row>
    <row r="146" spans="1:25" s="94" customFormat="1" ht="30" customHeight="1">
      <c r="A146" s="85">
        <v>136</v>
      </c>
      <c r="B146" s="86" t="s">
        <v>50</v>
      </c>
      <c r="C146" s="127" t="s">
        <v>43</v>
      </c>
      <c r="D146" s="127" t="s">
        <v>51</v>
      </c>
      <c r="E146" s="127" t="s">
        <v>53</v>
      </c>
      <c r="F146" s="117" t="s">
        <v>49</v>
      </c>
      <c r="G146" s="88">
        <v>46212</v>
      </c>
      <c r="H146" s="87" t="s">
        <v>875</v>
      </c>
      <c r="I146" s="88" t="s">
        <v>876</v>
      </c>
      <c r="J146" s="89" t="s">
        <v>2467</v>
      </c>
      <c r="K146" s="89" t="s">
        <v>877</v>
      </c>
      <c r="L146" s="89" t="s">
        <v>861</v>
      </c>
      <c r="M146" s="118" t="s">
        <v>878</v>
      </c>
      <c r="N146" s="90">
        <v>10000</v>
      </c>
      <c r="O146" s="91">
        <v>46211</v>
      </c>
      <c r="P146" s="90" t="s">
        <v>965</v>
      </c>
      <c r="Q146" s="90">
        <v>80</v>
      </c>
      <c r="R146" s="90">
        <v>25520</v>
      </c>
      <c r="S146" s="130">
        <v>5300</v>
      </c>
      <c r="T146" s="90">
        <f t="shared" si="8"/>
        <v>20220</v>
      </c>
      <c r="U146" s="92">
        <f t="shared" si="9"/>
        <v>18381.81818181818</v>
      </c>
      <c r="V146" s="92">
        <f t="shared" si="10"/>
        <v>183818181.81818178</v>
      </c>
      <c r="W146" s="92">
        <f t="shared" si="11"/>
        <v>18381818.18181818</v>
      </c>
      <c r="Y146" s="115"/>
    </row>
    <row r="147" spans="1:25" s="94" customFormat="1" ht="30" customHeight="1">
      <c r="A147" s="85">
        <v>137</v>
      </c>
      <c r="B147" s="86" t="s">
        <v>50</v>
      </c>
      <c r="C147" s="127" t="s">
        <v>43</v>
      </c>
      <c r="D147" s="127" t="s">
        <v>51</v>
      </c>
      <c r="E147" s="127" t="s">
        <v>52</v>
      </c>
      <c r="F147" s="117" t="s">
        <v>49</v>
      </c>
      <c r="G147" s="88">
        <v>46212</v>
      </c>
      <c r="H147" s="87" t="s">
        <v>879</v>
      </c>
      <c r="I147" s="88" t="s">
        <v>880</v>
      </c>
      <c r="J147" s="89" t="s">
        <v>881</v>
      </c>
      <c r="K147" s="89" t="s">
        <v>882</v>
      </c>
      <c r="L147" s="89" t="s">
        <v>861</v>
      </c>
      <c r="M147" s="118" t="s">
        <v>883</v>
      </c>
      <c r="N147" s="90">
        <v>10000</v>
      </c>
      <c r="O147" s="91">
        <v>46211</v>
      </c>
      <c r="P147" s="90" t="s">
        <v>965</v>
      </c>
      <c r="Q147" s="90">
        <v>80</v>
      </c>
      <c r="R147" s="90">
        <v>25400</v>
      </c>
      <c r="S147" s="130">
        <v>5300</v>
      </c>
      <c r="T147" s="90">
        <f t="shared" si="8"/>
        <v>20100</v>
      </c>
      <c r="U147" s="92">
        <f t="shared" si="9"/>
        <v>18272.727272727268</v>
      </c>
      <c r="V147" s="92">
        <f t="shared" si="10"/>
        <v>182727272.72727269</v>
      </c>
      <c r="W147" s="92">
        <f t="shared" si="11"/>
        <v>18272727.27272727</v>
      </c>
      <c r="Y147" s="115"/>
    </row>
    <row r="148" spans="1:25" s="94" customFormat="1" ht="30" customHeight="1">
      <c r="A148" s="85">
        <v>138</v>
      </c>
      <c r="B148" s="86" t="s">
        <v>50</v>
      </c>
      <c r="C148" s="127" t="s">
        <v>43</v>
      </c>
      <c r="D148" s="127" t="s">
        <v>51</v>
      </c>
      <c r="E148" s="127" t="s">
        <v>53</v>
      </c>
      <c r="F148" s="117" t="s">
        <v>49</v>
      </c>
      <c r="G148" s="88">
        <v>46212</v>
      </c>
      <c r="H148" s="87" t="s">
        <v>893</v>
      </c>
      <c r="I148" s="89" t="s">
        <v>894</v>
      </c>
      <c r="J148" s="89" t="s">
        <v>2290</v>
      </c>
      <c r="K148" s="89" t="s">
        <v>895</v>
      </c>
      <c r="L148" s="89" t="s">
        <v>861</v>
      </c>
      <c r="M148" s="118" t="s">
        <v>896</v>
      </c>
      <c r="N148" s="90">
        <v>20000</v>
      </c>
      <c r="O148" s="91">
        <v>46211</v>
      </c>
      <c r="P148" s="90" t="s">
        <v>965</v>
      </c>
      <c r="Q148" s="90">
        <v>80</v>
      </c>
      <c r="R148" s="90">
        <v>25520</v>
      </c>
      <c r="S148" s="130">
        <v>5300</v>
      </c>
      <c r="T148" s="90">
        <f t="shared" si="8"/>
        <v>20220</v>
      </c>
      <c r="U148" s="92">
        <f t="shared" si="9"/>
        <v>18381.81818181818</v>
      </c>
      <c r="V148" s="92">
        <f t="shared" si="10"/>
        <v>367636363.63636357</v>
      </c>
      <c r="W148" s="92">
        <f t="shared" si="11"/>
        <v>36763636.36363636</v>
      </c>
      <c r="Y148" s="115"/>
    </row>
    <row r="149" spans="1:25" s="94" customFormat="1" ht="30" customHeight="1">
      <c r="A149" s="85">
        <v>139</v>
      </c>
      <c r="B149" s="86" t="s">
        <v>213</v>
      </c>
      <c r="C149" s="127" t="s">
        <v>43</v>
      </c>
      <c r="D149" s="127" t="s">
        <v>51</v>
      </c>
      <c r="E149" s="127" t="s">
        <v>55</v>
      </c>
      <c r="F149" s="117" t="s">
        <v>56</v>
      </c>
      <c r="G149" s="88">
        <v>46212</v>
      </c>
      <c r="H149" s="87" t="s">
        <v>907</v>
      </c>
      <c r="I149" s="89" t="s">
        <v>901</v>
      </c>
      <c r="J149" s="89" t="s">
        <v>2561</v>
      </c>
      <c r="K149" s="89" t="s">
        <v>913</v>
      </c>
      <c r="L149" s="89" t="s">
        <v>861</v>
      </c>
      <c r="M149" s="118" t="s">
        <v>914</v>
      </c>
      <c r="N149" s="90">
        <v>42000</v>
      </c>
      <c r="O149" s="91">
        <v>46211</v>
      </c>
      <c r="P149" s="90" t="s">
        <v>965</v>
      </c>
      <c r="Q149" s="90">
        <v>80</v>
      </c>
      <c r="R149" s="90">
        <v>24850</v>
      </c>
      <c r="S149" s="130">
        <v>4800</v>
      </c>
      <c r="T149" s="90">
        <f t="shared" si="8"/>
        <v>20050</v>
      </c>
      <c r="U149" s="92">
        <f t="shared" si="9"/>
        <v>18227.272727272724</v>
      </c>
      <c r="V149" s="92">
        <f t="shared" si="10"/>
        <v>765545454.54545438</v>
      </c>
      <c r="W149" s="92">
        <f t="shared" si="11"/>
        <v>76554545.454545438</v>
      </c>
      <c r="Y149" s="115"/>
    </row>
    <row r="150" spans="1:25" s="94" customFormat="1" ht="30" customHeight="1">
      <c r="A150" s="85">
        <v>140</v>
      </c>
      <c r="B150" s="86" t="s">
        <v>213</v>
      </c>
      <c r="C150" s="127" t="s">
        <v>43</v>
      </c>
      <c r="D150" s="127" t="s">
        <v>51</v>
      </c>
      <c r="E150" s="127" t="s">
        <v>55</v>
      </c>
      <c r="F150" s="117" t="s">
        <v>56</v>
      </c>
      <c r="G150" s="88">
        <v>46212</v>
      </c>
      <c r="H150" s="87" t="s">
        <v>908</v>
      </c>
      <c r="I150" s="89" t="s">
        <v>902</v>
      </c>
      <c r="J150" s="89" t="s">
        <v>2560</v>
      </c>
      <c r="K150" s="89" t="s">
        <v>913</v>
      </c>
      <c r="L150" s="89" t="s">
        <v>861</v>
      </c>
      <c r="M150" s="118" t="s">
        <v>914</v>
      </c>
      <c r="N150" s="90">
        <v>42000</v>
      </c>
      <c r="O150" s="91">
        <v>46211</v>
      </c>
      <c r="P150" s="90" t="s">
        <v>965</v>
      </c>
      <c r="Q150" s="90">
        <v>80</v>
      </c>
      <c r="R150" s="90">
        <v>24850</v>
      </c>
      <c r="S150" s="130">
        <v>4800</v>
      </c>
      <c r="T150" s="90">
        <f t="shared" si="8"/>
        <v>20050</v>
      </c>
      <c r="U150" s="92">
        <f t="shared" si="9"/>
        <v>18227.272727272724</v>
      </c>
      <c r="V150" s="92">
        <f t="shared" si="10"/>
        <v>765545454.54545438</v>
      </c>
      <c r="W150" s="92">
        <f t="shared" si="11"/>
        <v>76554545.454545438</v>
      </c>
      <c r="Y150" s="115"/>
    </row>
    <row r="151" spans="1:25" s="94" customFormat="1" ht="30" customHeight="1">
      <c r="A151" s="85">
        <v>141</v>
      </c>
      <c r="B151" s="86" t="s">
        <v>213</v>
      </c>
      <c r="C151" s="127" t="s">
        <v>43</v>
      </c>
      <c r="D151" s="127" t="s">
        <v>51</v>
      </c>
      <c r="E151" s="127" t="s">
        <v>55</v>
      </c>
      <c r="F151" s="117" t="s">
        <v>56</v>
      </c>
      <c r="G151" s="88">
        <v>46212</v>
      </c>
      <c r="H151" s="87" t="s">
        <v>909</v>
      </c>
      <c r="I151" s="89" t="s">
        <v>903</v>
      </c>
      <c r="J151" s="89" t="s">
        <v>2559</v>
      </c>
      <c r="K151" s="89" t="s">
        <v>913</v>
      </c>
      <c r="L151" s="89" t="s">
        <v>861</v>
      </c>
      <c r="M151" s="118" t="s">
        <v>914</v>
      </c>
      <c r="N151" s="90">
        <v>42000</v>
      </c>
      <c r="O151" s="91">
        <v>46211</v>
      </c>
      <c r="P151" s="90" t="s">
        <v>965</v>
      </c>
      <c r="Q151" s="90">
        <v>80</v>
      </c>
      <c r="R151" s="90">
        <v>24850</v>
      </c>
      <c r="S151" s="130">
        <v>4800</v>
      </c>
      <c r="T151" s="90">
        <f t="shared" si="8"/>
        <v>20050</v>
      </c>
      <c r="U151" s="92">
        <f t="shared" si="9"/>
        <v>18227.272727272724</v>
      </c>
      <c r="V151" s="92">
        <f t="shared" si="10"/>
        <v>765545454.54545438</v>
      </c>
      <c r="W151" s="92">
        <f t="shared" si="11"/>
        <v>76554545.454545438</v>
      </c>
      <c r="Y151" s="115"/>
    </row>
    <row r="152" spans="1:25" s="94" customFormat="1" ht="30" customHeight="1">
      <c r="A152" s="85">
        <v>142</v>
      </c>
      <c r="B152" s="86" t="s">
        <v>213</v>
      </c>
      <c r="C152" s="127" t="s">
        <v>43</v>
      </c>
      <c r="D152" s="127" t="s">
        <v>51</v>
      </c>
      <c r="E152" s="127" t="s">
        <v>55</v>
      </c>
      <c r="F152" s="117" t="s">
        <v>56</v>
      </c>
      <c r="G152" s="88">
        <v>46212</v>
      </c>
      <c r="H152" s="87" t="s">
        <v>910</v>
      </c>
      <c r="I152" s="89" t="s">
        <v>904</v>
      </c>
      <c r="J152" s="89" t="s">
        <v>2558</v>
      </c>
      <c r="K152" s="89" t="s">
        <v>913</v>
      </c>
      <c r="L152" s="89" t="s">
        <v>861</v>
      </c>
      <c r="M152" s="118" t="s">
        <v>914</v>
      </c>
      <c r="N152" s="90">
        <v>42000</v>
      </c>
      <c r="O152" s="91">
        <v>46211</v>
      </c>
      <c r="P152" s="90" t="s">
        <v>965</v>
      </c>
      <c r="Q152" s="90">
        <v>80</v>
      </c>
      <c r="R152" s="90">
        <v>24850</v>
      </c>
      <c r="S152" s="130">
        <v>4800</v>
      </c>
      <c r="T152" s="90">
        <f t="shared" si="8"/>
        <v>20050</v>
      </c>
      <c r="U152" s="92">
        <f t="shared" si="9"/>
        <v>18227.272727272724</v>
      </c>
      <c r="V152" s="92">
        <f t="shared" si="10"/>
        <v>765545454.54545438</v>
      </c>
      <c r="W152" s="92">
        <f t="shared" si="11"/>
        <v>76554545.454545438</v>
      </c>
      <c r="Y152" s="115"/>
    </row>
    <row r="153" spans="1:25" s="94" customFormat="1" ht="30" customHeight="1">
      <c r="A153" s="85">
        <v>143</v>
      </c>
      <c r="B153" s="86" t="s">
        <v>213</v>
      </c>
      <c r="C153" s="127" t="s">
        <v>43</v>
      </c>
      <c r="D153" s="127" t="s">
        <v>51</v>
      </c>
      <c r="E153" s="127" t="s">
        <v>55</v>
      </c>
      <c r="F153" s="117" t="s">
        <v>56</v>
      </c>
      <c r="G153" s="88">
        <v>46212</v>
      </c>
      <c r="H153" s="87" t="s">
        <v>911</v>
      </c>
      <c r="I153" s="89" t="s">
        <v>905</v>
      </c>
      <c r="J153" s="89" t="s">
        <v>2557</v>
      </c>
      <c r="K153" s="89" t="s">
        <v>913</v>
      </c>
      <c r="L153" s="89" t="s">
        <v>861</v>
      </c>
      <c r="M153" s="118" t="s">
        <v>914</v>
      </c>
      <c r="N153" s="90">
        <v>42000</v>
      </c>
      <c r="O153" s="91">
        <v>46211</v>
      </c>
      <c r="P153" s="90" t="s">
        <v>965</v>
      </c>
      <c r="Q153" s="90">
        <v>80</v>
      </c>
      <c r="R153" s="90">
        <v>24850</v>
      </c>
      <c r="S153" s="130">
        <v>4800</v>
      </c>
      <c r="T153" s="90">
        <f t="shared" si="8"/>
        <v>20050</v>
      </c>
      <c r="U153" s="92">
        <f t="shared" si="9"/>
        <v>18227.272727272724</v>
      </c>
      <c r="V153" s="92">
        <f t="shared" si="10"/>
        <v>765545454.54545438</v>
      </c>
      <c r="W153" s="92">
        <f t="shared" si="11"/>
        <v>76554545.454545438</v>
      </c>
      <c r="Y153" s="115"/>
    </row>
    <row r="154" spans="1:25" s="94" customFormat="1" ht="30" customHeight="1">
      <c r="A154" s="85">
        <v>144</v>
      </c>
      <c r="B154" s="86" t="s">
        <v>213</v>
      </c>
      <c r="C154" s="127" t="s">
        <v>43</v>
      </c>
      <c r="D154" s="127" t="s">
        <v>51</v>
      </c>
      <c r="E154" s="127" t="s">
        <v>55</v>
      </c>
      <c r="F154" s="117" t="s">
        <v>56</v>
      </c>
      <c r="G154" s="88">
        <v>46212</v>
      </c>
      <c r="H154" s="87" t="s">
        <v>912</v>
      </c>
      <c r="I154" s="89" t="s">
        <v>906</v>
      </c>
      <c r="J154" s="89" t="s">
        <v>2556</v>
      </c>
      <c r="K154" s="89" t="s">
        <v>913</v>
      </c>
      <c r="L154" s="89" t="s">
        <v>861</v>
      </c>
      <c r="M154" s="118" t="s">
        <v>914</v>
      </c>
      <c r="N154" s="90">
        <v>42000</v>
      </c>
      <c r="O154" s="91">
        <v>46211</v>
      </c>
      <c r="P154" s="90" t="s">
        <v>965</v>
      </c>
      <c r="Q154" s="90">
        <v>80</v>
      </c>
      <c r="R154" s="90">
        <v>24850</v>
      </c>
      <c r="S154" s="130">
        <v>4800</v>
      </c>
      <c r="T154" s="90">
        <f t="shared" si="8"/>
        <v>20050</v>
      </c>
      <c r="U154" s="92">
        <f t="shared" si="9"/>
        <v>18227.272727272724</v>
      </c>
      <c r="V154" s="92">
        <f t="shared" si="10"/>
        <v>765545454.54545438</v>
      </c>
      <c r="W154" s="92">
        <f t="shared" si="11"/>
        <v>76554545.454545438</v>
      </c>
      <c r="Y154" s="115"/>
    </row>
    <row r="155" spans="1:25" s="94" customFormat="1" ht="30" customHeight="1">
      <c r="A155" s="85">
        <v>145</v>
      </c>
      <c r="B155" s="86" t="s">
        <v>50</v>
      </c>
      <c r="C155" s="127" t="s">
        <v>43</v>
      </c>
      <c r="D155" s="127" t="s">
        <v>51</v>
      </c>
      <c r="E155" s="127" t="s">
        <v>53</v>
      </c>
      <c r="F155" s="117" t="s">
        <v>49</v>
      </c>
      <c r="G155" s="88">
        <v>46212</v>
      </c>
      <c r="H155" s="87" t="s">
        <v>915</v>
      </c>
      <c r="I155" s="88" t="s">
        <v>916</v>
      </c>
      <c r="J155" s="89" t="s">
        <v>2291</v>
      </c>
      <c r="K155" s="89" t="s">
        <v>917</v>
      </c>
      <c r="L155" s="89" t="s">
        <v>861</v>
      </c>
      <c r="M155" s="118" t="s">
        <v>918</v>
      </c>
      <c r="N155" s="90">
        <v>20000</v>
      </c>
      <c r="O155" s="91">
        <v>46211</v>
      </c>
      <c r="P155" s="90" t="s">
        <v>965</v>
      </c>
      <c r="Q155" s="90">
        <v>80</v>
      </c>
      <c r="R155" s="90">
        <v>25520</v>
      </c>
      <c r="S155" s="130">
        <v>1900</v>
      </c>
      <c r="T155" s="90">
        <f t="shared" si="8"/>
        <v>23620</v>
      </c>
      <c r="U155" s="92">
        <f t="shared" si="9"/>
        <v>21472.727272727268</v>
      </c>
      <c r="V155" s="92">
        <f t="shared" si="10"/>
        <v>429454545.45454538</v>
      </c>
      <c r="W155" s="92">
        <f t="shared" si="11"/>
        <v>42945454.545454539</v>
      </c>
      <c r="Y155" s="115"/>
    </row>
    <row r="156" spans="1:25" s="94" customFormat="1" ht="30" customHeight="1">
      <c r="A156" s="85">
        <v>146</v>
      </c>
      <c r="B156" s="86" t="s">
        <v>50</v>
      </c>
      <c r="C156" s="127" t="s">
        <v>43</v>
      </c>
      <c r="D156" s="127" t="s">
        <v>51</v>
      </c>
      <c r="E156" s="127" t="s">
        <v>52</v>
      </c>
      <c r="F156" s="117" t="s">
        <v>49</v>
      </c>
      <c r="G156" s="88">
        <v>46212</v>
      </c>
      <c r="H156" s="87" t="s">
        <v>919</v>
      </c>
      <c r="I156" s="88" t="s">
        <v>920</v>
      </c>
      <c r="J156" s="89" t="s">
        <v>921</v>
      </c>
      <c r="K156" s="89" t="s">
        <v>922</v>
      </c>
      <c r="L156" s="89" t="s">
        <v>861</v>
      </c>
      <c r="M156" s="118" t="s">
        <v>923</v>
      </c>
      <c r="N156" s="90">
        <v>40000</v>
      </c>
      <c r="O156" s="91">
        <v>46211</v>
      </c>
      <c r="P156" s="90" t="s">
        <v>965</v>
      </c>
      <c r="Q156" s="90">
        <v>80</v>
      </c>
      <c r="R156" s="90">
        <v>25400</v>
      </c>
      <c r="S156" s="130">
        <v>5350</v>
      </c>
      <c r="T156" s="90">
        <f t="shared" si="8"/>
        <v>20050</v>
      </c>
      <c r="U156" s="92">
        <f t="shared" si="9"/>
        <v>18227.272727272724</v>
      </c>
      <c r="V156" s="92">
        <f t="shared" si="10"/>
        <v>729090909.090909</v>
      </c>
      <c r="W156" s="92">
        <f t="shared" si="11"/>
        <v>72909090.909090906</v>
      </c>
      <c r="Y156" s="115"/>
    </row>
    <row r="157" spans="1:25" s="94" customFormat="1" ht="30" customHeight="1">
      <c r="A157" s="85">
        <v>147</v>
      </c>
      <c r="B157" s="86" t="s">
        <v>50</v>
      </c>
      <c r="C157" s="127" t="s">
        <v>43</v>
      </c>
      <c r="D157" s="127" t="s">
        <v>51</v>
      </c>
      <c r="E157" s="127" t="s">
        <v>52</v>
      </c>
      <c r="F157" s="117" t="s">
        <v>49</v>
      </c>
      <c r="G157" s="88">
        <v>46212</v>
      </c>
      <c r="H157" s="87" t="s">
        <v>924</v>
      </c>
      <c r="I157" s="88" t="s">
        <v>928</v>
      </c>
      <c r="J157" s="89" t="s">
        <v>926</v>
      </c>
      <c r="K157" s="89" t="s">
        <v>925</v>
      </c>
      <c r="L157" s="89" t="s">
        <v>861</v>
      </c>
      <c r="M157" s="118" t="s">
        <v>927</v>
      </c>
      <c r="N157" s="90">
        <v>40000</v>
      </c>
      <c r="O157" s="91">
        <v>46211</v>
      </c>
      <c r="P157" s="90" t="s">
        <v>965</v>
      </c>
      <c r="Q157" s="90">
        <v>80</v>
      </c>
      <c r="R157" s="90">
        <v>25400</v>
      </c>
      <c r="S157" s="130">
        <v>5300</v>
      </c>
      <c r="T157" s="90">
        <f t="shared" si="8"/>
        <v>20100</v>
      </c>
      <c r="U157" s="92">
        <f t="shared" si="9"/>
        <v>18272.727272727268</v>
      </c>
      <c r="V157" s="92">
        <f t="shared" si="10"/>
        <v>730909090.90909076</v>
      </c>
      <c r="W157" s="92">
        <f t="shared" si="11"/>
        <v>73090909.090909079</v>
      </c>
      <c r="Y157" s="115"/>
    </row>
    <row r="158" spans="1:25" s="94" customFormat="1" ht="30" customHeight="1">
      <c r="A158" s="85">
        <v>148</v>
      </c>
      <c r="B158" s="86" t="s">
        <v>50</v>
      </c>
      <c r="C158" s="127" t="s">
        <v>43</v>
      </c>
      <c r="D158" s="127" t="s">
        <v>51</v>
      </c>
      <c r="E158" s="127" t="s">
        <v>55</v>
      </c>
      <c r="F158" s="117" t="s">
        <v>49</v>
      </c>
      <c r="G158" s="88">
        <v>46213</v>
      </c>
      <c r="H158" s="87" t="s">
        <v>932</v>
      </c>
      <c r="I158" s="88" t="s">
        <v>929</v>
      </c>
      <c r="J158" s="89" t="s">
        <v>2562</v>
      </c>
      <c r="K158" s="89" t="s">
        <v>933</v>
      </c>
      <c r="L158" s="89" t="s">
        <v>934</v>
      </c>
      <c r="M158" s="118" t="s">
        <v>935</v>
      </c>
      <c r="N158" s="90">
        <v>20000</v>
      </c>
      <c r="O158" s="91">
        <v>46211</v>
      </c>
      <c r="P158" s="90" t="s">
        <v>965</v>
      </c>
      <c r="Q158" s="90">
        <v>80</v>
      </c>
      <c r="R158" s="90">
        <v>25430</v>
      </c>
      <c r="S158" s="130">
        <v>5300</v>
      </c>
      <c r="T158" s="90">
        <f t="shared" si="8"/>
        <v>20130</v>
      </c>
      <c r="U158" s="92">
        <f t="shared" si="9"/>
        <v>18299.999999999996</v>
      </c>
      <c r="V158" s="92">
        <f t="shared" si="10"/>
        <v>365999999.99999994</v>
      </c>
      <c r="W158" s="92">
        <f t="shared" si="11"/>
        <v>36599999.999999993</v>
      </c>
      <c r="Y158" s="115"/>
    </row>
    <row r="159" spans="1:25" s="94" customFormat="1" ht="30" customHeight="1">
      <c r="A159" s="85">
        <v>149</v>
      </c>
      <c r="B159" s="86" t="s">
        <v>50</v>
      </c>
      <c r="C159" s="127" t="s">
        <v>43</v>
      </c>
      <c r="D159" s="127" t="s">
        <v>51</v>
      </c>
      <c r="E159" s="127" t="s">
        <v>61</v>
      </c>
      <c r="F159" s="117" t="s">
        <v>49</v>
      </c>
      <c r="G159" s="88">
        <v>46213</v>
      </c>
      <c r="H159" s="87" t="s">
        <v>936</v>
      </c>
      <c r="I159" s="88" t="s">
        <v>930</v>
      </c>
      <c r="J159" s="89" t="s">
        <v>2435</v>
      </c>
      <c r="K159" s="89" t="s">
        <v>937</v>
      </c>
      <c r="L159" s="89" t="s">
        <v>934</v>
      </c>
      <c r="M159" s="118" t="s">
        <v>938</v>
      </c>
      <c r="N159" s="90">
        <v>60000</v>
      </c>
      <c r="O159" s="91">
        <v>46211</v>
      </c>
      <c r="P159" s="90" t="s">
        <v>965</v>
      </c>
      <c r="Q159" s="90">
        <v>80</v>
      </c>
      <c r="R159" s="90">
        <v>25950</v>
      </c>
      <c r="S159" s="130">
        <v>5200</v>
      </c>
      <c r="T159" s="90">
        <f t="shared" si="8"/>
        <v>20750</v>
      </c>
      <c r="U159" s="92">
        <f t="shared" si="9"/>
        <v>18863.63636363636</v>
      </c>
      <c r="V159" s="92">
        <f t="shared" si="10"/>
        <v>1131818181.8181818</v>
      </c>
      <c r="W159" s="92">
        <f t="shared" si="11"/>
        <v>113181818.18181819</v>
      </c>
      <c r="Y159" s="115"/>
    </row>
    <row r="160" spans="1:25" s="94" customFormat="1" ht="30" customHeight="1">
      <c r="A160" s="85">
        <v>150</v>
      </c>
      <c r="B160" s="86" t="s">
        <v>50</v>
      </c>
      <c r="C160" s="127" t="s">
        <v>43</v>
      </c>
      <c r="D160" s="127" t="s">
        <v>51</v>
      </c>
      <c r="E160" s="127" t="s">
        <v>52</v>
      </c>
      <c r="F160" s="117" t="s">
        <v>49</v>
      </c>
      <c r="G160" s="88">
        <v>46213</v>
      </c>
      <c r="H160" s="87" t="s">
        <v>939</v>
      </c>
      <c r="I160" s="88" t="s">
        <v>931</v>
      </c>
      <c r="J160" s="89" t="s">
        <v>940</v>
      </c>
      <c r="K160" s="89" t="s">
        <v>941</v>
      </c>
      <c r="L160" s="89" t="s">
        <v>934</v>
      </c>
      <c r="M160" s="118" t="s">
        <v>942</v>
      </c>
      <c r="N160" s="90">
        <v>40000</v>
      </c>
      <c r="O160" s="91">
        <v>46211</v>
      </c>
      <c r="P160" s="90" t="s">
        <v>965</v>
      </c>
      <c r="Q160" s="90">
        <v>80</v>
      </c>
      <c r="R160" s="90">
        <v>25400</v>
      </c>
      <c r="S160" s="130">
        <v>5300</v>
      </c>
      <c r="T160" s="90">
        <f t="shared" si="8"/>
        <v>20100</v>
      </c>
      <c r="U160" s="92">
        <f t="shared" si="9"/>
        <v>18272.727272727268</v>
      </c>
      <c r="V160" s="92">
        <f t="shared" si="10"/>
        <v>730909090.90909076</v>
      </c>
      <c r="W160" s="92">
        <f t="shared" si="11"/>
        <v>73090909.090909079</v>
      </c>
      <c r="Y160" s="115"/>
    </row>
    <row r="161" spans="1:25" s="94" customFormat="1" ht="30" customHeight="1">
      <c r="A161" s="85">
        <v>151</v>
      </c>
      <c r="B161" s="86" t="s">
        <v>50</v>
      </c>
      <c r="C161" s="127" t="s">
        <v>43</v>
      </c>
      <c r="D161" s="127" t="s">
        <v>51</v>
      </c>
      <c r="E161" s="127" t="s">
        <v>52</v>
      </c>
      <c r="F161" s="117" t="s">
        <v>49</v>
      </c>
      <c r="G161" s="88">
        <v>46213</v>
      </c>
      <c r="H161" s="87" t="s">
        <v>959</v>
      </c>
      <c r="I161" s="88" t="s">
        <v>968</v>
      </c>
      <c r="J161" s="89" t="s">
        <v>961</v>
      </c>
      <c r="K161" s="89" t="s">
        <v>960</v>
      </c>
      <c r="L161" s="89" t="s">
        <v>934</v>
      </c>
      <c r="M161" s="118" t="s">
        <v>963</v>
      </c>
      <c r="N161" s="90">
        <v>3000</v>
      </c>
      <c r="O161" s="91">
        <v>46211</v>
      </c>
      <c r="P161" s="90" t="s">
        <v>965</v>
      </c>
      <c r="Q161" s="90">
        <v>80</v>
      </c>
      <c r="R161" s="90">
        <v>25400</v>
      </c>
      <c r="S161" s="130">
        <v>5300</v>
      </c>
      <c r="T161" s="90">
        <f t="shared" si="8"/>
        <v>20100</v>
      </c>
      <c r="U161" s="92">
        <f t="shared" si="9"/>
        <v>18272.727272727268</v>
      </c>
      <c r="V161" s="92">
        <f t="shared" si="10"/>
        <v>54818181.818181813</v>
      </c>
      <c r="W161" s="92">
        <f t="shared" si="11"/>
        <v>5481818.1818181816</v>
      </c>
      <c r="Y161" s="115"/>
    </row>
    <row r="162" spans="1:25" s="94" customFormat="1" ht="30" customHeight="1">
      <c r="A162" s="85">
        <v>152</v>
      </c>
      <c r="B162" s="86" t="s">
        <v>50</v>
      </c>
      <c r="C162" s="127" t="s">
        <v>43</v>
      </c>
      <c r="D162" s="127" t="s">
        <v>51</v>
      </c>
      <c r="E162" s="127" t="s">
        <v>55</v>
      </c>
      <c r="F162" s="117" t="s">
        <v>49</v>
      </c>
      <c r="G162" s="88">
        <v>46213</v>
      </c>
      <c r="H162" s="87" t="s">
        <v>966</v>
      </c>
      <c r="I162" s="88" t="s">
        <v>969</v>
      </c>
      <c r="J162" s="89" t="s">
        <v>2563</v>
      </c>
      <c r="K162" s="89" t="s">
        <v>967</v>
      </c>
      <c r="L162" s="89" t="s">
        <v>962</v>
      </c>
      <c r="M162" s="118" t="s">
        <v>971</v>
      </c>
      <c r="N162" s="90">
        <v>80000</v>
      </c>
      <c r="O162" s="91">
        <v>46211</v>
      </c>
      <c r="P162" s="90" t="s">
        <v>964</v>
      </c>
      <c r="Q162" s="90">
        <v>80</v>
      </c>
      <c r="R162" s="90">
        <v>25610</v>
      </c>
      <c r="S162" s="130">
        <v>4234</v>
      </c>
      <c r="T162" s="90">
        <f t="shared" si="8"/>
        <v>21376</v>
      </c>
      <c r="U162" s="92">
        <f t="shared" si="9"/>
        <v>19432.727272727268</v>
      </c>
      <c r="V162" s="92">
        <f t="shared" si="10"/>
        <v>1554618181.8181815</v>
      </c>
      <c r="W162" s="92">
        <f t="shared" si="11"/>
        <v>155461818.18181816</v>
      </c>
      <c r="Y162" s="115"/>
    </row>
    <row r="163" spans="1:25" s="94" customFormat="1" ht="30" customHeight="1">
      <c r="A163" s="85">
        <v>153</v>
      </c>
      <c r="B163" s="86" t="s">
        <v>50</v>
      </c>
      <c r="C163" s="127" t="s">
        <v>43</v>
      </c>
      <c r="D163" s="127" t="s">
        <v>51</v>
      </c>
      <c r="E163" s="127" t="s">
        <v>54</v>
      </c>
      <c r="F163" s="117" t="s">
        <v>49</v>
      </c>
      <c r="G163" s="88">
        <v>46213</v>
      </c>
      <c r="H163" s="87" t="s">
        <v>972</v>
      </c>
      <c r="I163" s="88" t="s">
        <v>970</v>
      </c>
      <c r="J163" s="89" t="s">
        <v>2490</v>
      </c>
      <c r="K163" s="89" t="s">
        <v>973</v>
      </c>
      <c r="L163" s="89" t="s">
        <v>962</v>
      </c>
      <c r="M163" s="118" t="s">
        <v>974</v>
      </c>
      <c r="N163" s="90">
        <v>12000</v>
      </c>
      <c r="O163" s="91">
        <v>46211</v>
      </c>
      <c r="P163" s="90" t="s">
        <v>964</v>
      </c>
      <c r="Q163" s="90">
        <v>80</v>
      </c>
      <c r="R163" s="90">
        <v>26080</v>
      </c>
      <c r="S163" s="130">
        <v>5300</v>
      </c>
      <c r="T163" s="90">
        <f t="shared" si="8"/>
        <v>20780</v>
      </c>
      <c r="U163" s="92">
        <f t="shared" si="9"/>
        <v>18890.909090909088</v>
      </c>
      <c r="V163" s="92">
        <f t="shared" si="10"/>
        <v>226690909.09090906</v>
      </c>
      <c r="W163" s="92">
        <f t="shared" si="11"/>
        <v>22669090.909090906</v>
      </c>
      <c r="Y163" s="115"/>
    </row>
    <row r="164" spans="1:25" s="94" customFormat="1" ht="30" customHeight="1">
      <c r="A164" s="85">
        <v>154</v>
      </c>
      <c r="B164" s="86" t="s">
        <v>50</v>
      </c>
      <c r="C164" s="127" t="s">
        <v>43</v>
      </c>
      <c r="D164" s="127" t="s">
        <v>51</v>
      </c>
      <c r="E164" s="127" t="s">
        <v>54</v>
      </c>
      <c r="F164" s="117" t="s">
        <v>49</v>
      </c>
      <c r="G164" s="88">
        <v>46213</v>
      </c>
      <c r="H164" s="87" t="s">
        <v>975</v>
      </c>
      <c r="I164" s="88" t="s">
        <v>976</v>
      </c>
      <c r="J164" s="89" t="s">
        <v>2491</v>
      </c>
      <c r="K164" s="89" t="s">
        <v>977</v>
      </c>
      <c r="L164" s="89" t="s">
        <v>962</v>
      </c>
      <c r="M164" s="118" t="s">
        <v>978</v>
      </c>
      <c r="N164" s="90">
        <v>8000</v>
      </c>
      <c r="O164" s="91">
        <v>46211</v>
      </c>
      <c r="P164" s="90" t="s">
        <v>964</v>
      </c>
      <c r="Q164" s="90">
        <v>80</v>
      </c>
      <c r="R164" s="90">
        <v>25990</v>
      </c>
      <c r="S164" s="130">
        <v>5300</v>
      </c>
      <c r="T164" s="90">
        <f t="shared" si="8"/>
        <v>20690</v>
      </c>
      <c r="U164" s="92">
        <f t="shared" si="9"/>
        <v>18809.090909090904</v>
      </c>
      <c r="V164" s="92">
        <f t="shared" si="10"/>
        <v>150472727.27272725</v>
      </c>
      <c r="W164" s="92">
        <f t="shared" si="11"/>
        <v>15047272.727272727</v>
      </c>
      <c r="Y164" s="115"/>
    </row>
    <row r="165" spans="1:25" s="94" customFormat="1" ht="30" customHeight="1">
      <c r="A165" s="85">
        <v>155</v>
      </c>
      <c r="B165" s="86" t="s">
        <v>50</v>
      </c>
      <c r="C165" s="127" t="s">
        <v>43</v>
      </c>
      <c r="D165" s="127" t="s">
        <v>51</v>
      </c>
      <c r="E165" s="127" t="s">
        <v>55</v>
      </c>
      <c r="F165" s="117" t="s">
        <v>49</v>
      </c>
      <c r="G165" s="88">
        <v>46213</v>
      </c>
      <c r="H165" s="87" t="s">
        <v>979</v>
      </c>
      <c r="I165" s="88" t="s">
        <v>980</v>
      </c>
      <c r="J165" s="89" t="s">
        <v>2564</v>
      </c>
      <c r="K165" s="89" t="s">
        <v>981</v>
      </c>
      <c r="L165" s="89" t="s">
        <v>962</v>
      </c>
      <c r="M165" s="118" t="s">
        <v>982</v>
      </c>
      <c r="N165" s="90">
        <v>40000</v>
      </c>
      <c r="O165" s="91">
        <v>46211</v>
      </c>
      <c r="P165" s="90" t="s">
        <v>964</v>
      </c>
      <c r="Q165" s="90">
        <v>80</v>
      </c>
      <c r="R165" s="90">
        <v>25430</v>
      </c>
      <c r="S165" s="130">
        <v>5300</v>
      </c>
      <c r="T165" s="90">
        <f t="shared" si="8"/>
        <v>20130</v>
      </c>
      <c r="U165" s="92">
        <f t="shared" si="9"/>
        <v>18299.999999999996</v>
      </c>
      <c r="V165" s="92">
        <f t="shared" si="10"/>
        <v>731999999.99999988</v>
      </c>
      <c r="W165" s="92">
        <f t="shared" si="11"/>
        <v>73199999.999999985</v>
      </c>
      <c r="Y165" s="115"/>
    </row>
    <row r="166" spans="1:25" s="94" customFormat="1" ht="30" customHeight="1">
      <c r="A166" s="85">
        <v>156</v>
      </c>
      <c r="B166" s="86" t="s">
        <v>50</v>
      </c>
      <c r="C166" s="127" t="s">
        <v>43</v>
      </c>
      <c r="D166" s="127" t="s">
        <v>51</v>
      </c>
      <c r="E166" s="127" t="s">
        <v>53</v>
      </c>
      <c r="F166" s="117" t="s">
        <v>49</v>
      </c>
      <c r="G166" s="88">
        <v>46213</v>
      </c>
      <c r="H166" s="87" t="s">
        <v>983</v>
      </c>
      <c r="I166" s="88" t="s">
        <v>984</v>
      </c>
      <c r="J166" s="89" t="s">
        <v>2292</v>
      </c>
      <c r="K166" s="89" t="s">
        <v>986</v>
      </c>
      <c r="L166" s="89" t="s">
        <v>962</v>
      </c>
      <c r="M166" s="118" t="s">
        <v>987</v>
      </c>
      <c r="N166" s="90">
        <v>20000</v>
      </c>
      <c r="O166" s="91">
        <v>46211</v>
      </c>
      <c r="P166" s="90" t="s">
        <v>964</v>
      </c>
      <c r="Q166" s="90">
        <v>80</v>
      </c>
      <c r="R166" s="90">
        <v>25430</v>
      </c>
      <c r="S166" s="130">
        <v>5300</v>
      </c>
      <c r="T166" s="90">
        <f t="shared" si="8"/>
        <v>20130</v>
      </c>
      <c r="U166" s="92">
        <f t="shared" si="9"/>
        <v>18299.999999999996</v>
      </c>
      <c r="V166" s="92">
        <f t="shared" si="10"/>
        <v>365999999.99999994</v>
      </c>
      <c r="W166" s="92">
        <f t="shared" si="11"/>
        <v>36599999.999999993</v>
      </c>
      <c r="Y166" s="115"/>
    </row>
    <row r="167" spans="1:25" s="94" customFormat="1" ht="30" customHeight="1">
      <c r="A167" s="85">
        <v>157</v>
      </c>
      <c r="B167" s="86" t="s">
        <v>50</v>
      </c>
      <c r="C167" s="127" t="s">
        <v>43</v>
      </c>
      <c r="D167" s="127" t="s">
        <v>51</v>
      </c>
      <c r="E167" s="127" t="s">
        <v>52</v>
      </c>
      <c r="F167" s="117" t="s">
        <v>49</v>
      </c>
      <c r="G167" s="88">
        <v>46213</v>
      </c>
      <c r="H167" s="87" t="s">
        <v>988</v>
      </c>
      <c r="I167" s="88" t="s">
        <v>985</v>
      </c>
      <c r="J167" s="89" t="s">
        <v>989</v>
      </c>
      <c r="K167" s="89" t="s">
        <v>990</v>
      </c>
      <c r="L167" s="89" t="s">
        <v>962</v>
      </c>
      <c r="M167" s="118" t="s">
        <v>991</v>
      </c>
      <c r="N167" s="90">
        <v>20000</v>
      </c>
      <c r="O167" s="91">
        <v>46211</v>
      </c>
      <c r="P167" s="90" t="s">
        <v>964</v>
      </c>
      <c r="Q167" s="90">
        <v>80</v>
      </c>
      <c r="R167" s="90">
        <v>25620</v>
      </c>
      <c r="S167" s="130">
        <v>5200</v>
      </c>
      <c r="T167" s="90">
        <f t="shared" si="8"/>
        <v>20420</v>
      </c>
      <c r="U167" s="92">
        <f t="shared" si="9"/>
        <v>18563.63636363636</v>
      </c>
      <c r="V167" s="92">
        <f t="shared" si="10"/>
        <v>371272727.27272719</v>
      </c>
      <c r="W167" s="92">
        <f t="shared" si="11"/>
        <v>37127272.727272719</v>
      </c>
      <c r="Y167" s="115"/>
    </row>
    <row r="168" spans="1:25" s="94" customFormat="1" ht="30" customHeight="1">
      <c r="A168" s="85">
        <v>158</v>
      </c>
      <c r="B168" s="86" t="s">
        <v>50</v>
      </c>
      <c r="C168" s="127" t="s">
        <v>43</v>
      </c>
      <c r="D168" s="127" t="s">
        <v>51</v>
      </c>
      <c r="E168" s="127" t="s">
        <v>52</v>
      </c>
      <c r="F168" s="117" t="s">
        <v>49</v>
      </c>
      <c r="G168" s="88">
        <v>46213</v>
      </c>
      <c r="H168" s="87" t="s">
        <v>1000</v>
      </c>
      <c r="I168" s="88" t="s">
        <v>1003</v>
      </c>
      <c r="J168" s="89" t="s">
        <v>1001</v>
      </c>
      <c r="K168" s="89" t="s">
        <v>1002</v>
      </c>
      <c r="L168" s="89" t="s">
        <v>962</v>
      </c>
      <c r="M168" s="118" t="s">
        <v>1004</v>
      </c>
      <c r="N168" s="90">
        <v>20000</v>
      </c>
      <c r="O168" s="91">
        <v>46211</v>
      </c>
      <c r="P168" s="90" t="s">
        <v>964</v>
      </c>
      <c r="Q168" s="90">
        <v>80</v>
      </c>
      <c r="R168" s="90">
        <v>25400</v>
      </c>
      <c r="S168" s="130">
        <v>5300</v>
      </c>
      <c r="T168" s="90">
        <f t="shared" si="8"/>
        <v>20100</v>
      </c>
      <c r="U168" s="92">
        <f t="shared" si="9"/>
        <v>18272.727272727268</v>
      </c>
      <c r="V168" s="92">
        <f t="shared" si="10"/>
        <v>365454545.45454538</v>
      </c>
      <c r="W168" s="92">
        <f t="shared" si="11"/>
        <v>36545454.545454539</v>
      </c>
      <c r="Y168" s="115"/>
    </row>
    <row r="169" spans="1:25" s="94" customFormat="1" ht="30" customHeight="1">
      <c r="A169" s="85">
        <v>159</v>
      </c>
      <c r="B169" s="86" t="s">
        <v>50</v>
      </c>
      <c r="C169" s="127" t="s">
        <v>43</v>
      </c>
      <c r="D169" s="127" t="s">
        <v>51</v>
      </c>
      <c r="E169" s="127" t="s">
        <v>61</v>
      </c>
      <c r="F169" s="117" t="s">
        <v>49</v>
      </c>
      <c r="G169" s="88">
        <v>46214</v>
      </c>
      <c r="H169" s="87" t="s">
        <v>1005</v>
      </c>
      <c r="I169" s="88" t="s">
        <v>1006</v>
      </c>
      <c r="J169" s="89" t="s">
        <v>2462</v>
      </c>
      <c r="K169" s="89" t="s">
        <v>1007</v>
      </c>
      <c r="L169" s="89" t="s">
        <v>1013</v>
      </c>
      <c r="M169" s="118" t="s">
        <v>1008</v>
      </c>
      <c r="N169" s="90">
        <v>60000</v>
      </c>
      <c r="O169" s="91">
        <v>46211</v>
      </c>
      <c r="P169" s="90" t="s">
        <v>964</v>
      </c>
      <c r="Q169" s="90">
        <v>80</v>
      </c>
      <c r="R169" s="90">
        <v>25950</v>
      </c>
      <c r="S169" s="130">
        <v>5300</v>
      </c>
      <c r="T169" s="90">
        <f t="shared" si="8"/>
        <v>20650</v>
      </c>
      <c r="U169" s="92">
        <f t="shared" si="9"/>
        <v>18772.727272727268</v>
      </c>
      <c r="V169" s="92">
        <f t="shared" si="10"/>
        <v>1126363636.3636363</v>
      </c>
      <c r="W169" s="92">
        <f t="shared" si="11"/>
        <v>112636363.63636363</v>
      </c>
      <c r="Y169" s="115"/>
    </row>
    <row r="170" spans="1:25" s="94" customFormat="1" ht="30" customHeight="1">
      <c r="A170" s="85">
        <v>160</v>
      </c>
      <c r="B170" s="86" t="s">
        <v>50</v>
      </c>
      <c r="C170" s="127" t="s">
        <v>43</v>
      </c>
      <c r="D170" s="127" t="s">
        <v>51</v>
      </c>
      <c r="E170" s="127" t="s">
        <v>52</v>
      </c>
      <c r="F170" s="117" t="s">
        <v>49</v>
      </c>
      <c r="G170" s="88">
        <v>46214</v>
      </c>
      <c r="H170" s="87" t="s">
        <v>1009</v>
      </c>
      <c r="I170" s="88" t="s">
        <v>1010</v>
      </c>
      <c r="J170" s="89" t="s">
        <v>1011</v>
      </c>
      <c r="K170" s="89" t="s">
        <v>1012</v>
      </c>
      <c r="L170" s="89" t="s">
        <v>1013</v>
      </c>
      <c r="M170" s="118" t="s">
        <v>1014</v>
      </c>
      <c r="N170" s="90">
        <v>12000</v>
      </c>
      <c r="O170" s="91">
        <v>46211</v>
      </c>
      <c r="P170" s="90" t="s">
        <v>964</v>
      </c>
      <c r="Q170" s="90">
        <v>80</v>
      </c>
      <c r="R170" s="90">
        <v>25400</v>
      </c>
      <c r="S170" s="130">
        <v>5300</v>
      </c>
      <c r="T170" s="90">
        <f t="shared" si="8"/>
        <v>20100</v>
      </c>
      <c r="U170" s="92">
        <f t="shared" si="9"/>
        <v>18272.727272727268</v>
      </c>
      <c r="V170" s="92">
        <f t="shared" si="10"/>
        <v>219272727.27272725</v>
      </c>
      <c r="W170" s="92">
        <f t="shared" si="11"/>
        <v>21927272.727272727</v>
      </c>
      <c r="Y170" s="115"/>
    </row>
    <row r="171" spans="1:25" s="94" customFormat="1" ht="30" customHeight="1">
      <c r="A171" s="85">
        <v>161</v>
      </c>
      <c r="B171" s="86" t="s">
        <v>50</v>
      </c>
      <c r="C171" s="127" t="s">
        <v>43</v>
      </c>
      <c r="D171" s="127" t="s">
        <v>51</v>
      </c>
      <c r="E171" s="127" t="s">
        <v>53</v>
      </c>
      <c r="F171" s="117" t="s">
        <v>49</v>
      </c>
      <c r="G171" s="88">
        <v>46213</v>
      </c>
      <c r="H171" s="87" t="s">
        <v>1020</v>
      </c>
      <c r="I171" s="88" t="s">
        <v>1022</v>
      </c>
      <c r="J171" s="89" t="s">
        <v>2294</v>
      </c>
      <c r="K171" s="89" t="s">
        <v>1021</v>
      </c>
      <c r="L171" s="89" t="s">
        <v>962</v>
      </c>
      <c r="M171" s="118" t="s">
        <v>1023</v>
      </c>
      <c r="N171" s="90">
        <v>40000</v>
      </c>
      <c r="O171" s="91">
        <v>46211</v>
      </c>
      <c r="P171" s="90" t="s">
        <v>964</v>
      </c>
      <c r="Q171" s="90">
        <v>80</v>
      </c>
      <c r="R171" s="90">
        <v>25430</v>
      </c>
      <c r="S171" s="130">
        <v>5300</v>
      </c>
      <c r="T171" s="90">
        <f t="shared" si="8"/>
        <v>20130</v>
      </c>
      <c r="U171" s="92">
        <f t="shared" si="9"/>
        <v>18299.999999999996</v>
      </c>
      <c r="V171" s="92">
        <f t="shared" si="10"/>
        <v>731999999.99999988</v>
      </c>
      <c r="W171" s="92">
        <f t="shared" si="11"/>
        <v>73199999.999999985</v>
      </c>
      <c r="Y171" s="115"/>
    </row>
    <row r="172" spans="1:25" s="94" customFormat="1" ht="30" customHeight="1">
      <c r="A172" s="85">
        <v>162</v>
      </c>
      <c r="B172" s="86" t="s">
        <v>50</v>
      </c>
      <c r="C172" s="127" t="s">
        <v>43</v>
      </c>
      <c r="D172" s="127" t="s">
        <v>51</v>
      </c>
      <c r="E172" s="127" t="s">
        <v>53</v>
      </c>
      <c r="F172" s="117" t="s">
        <v>49</v>
      </c>
      <c r="G172" s="88">
        <v>46216</v>
      </c>
      <c r="H172" s="87" t="s">
        <v>1024</v>
      </c>
      <c r="I172" s="88" t="s">
        <v>1025</v>
      </c>
      <c r="J172" s="89" t="s">
        <v>2293</v>
      </c>
      <c r="K172" s="89" t="s">
        <v>1026</v>
      </c>
      <c r="L172" s="89" t="s">
        <v>1028</v>
      </c>
      <c r="M172" s="118" t="s">
        <v>1029</v>
      </c>
      <c r="N172" s="90">
        <v>10000</v>
      </c>
      <c r="O172" s="91">
        <v>46211</v>
      </c>
      <c r="P172" s="90" t="s">
        <v>964</v>
      </c>
      <c r="Q172" s="90">
        <v>80</v>
      </c>
      <c r="R172" s="90">
        <v>25520</v>
      </c>
      <c r="S172" s="130">
        <v>5300</v>
      </c>
      <c r="T172" s="90">
        <f t="shared" si="8"/>
        <v>20220</v>
      </c>
      <c r="U172" s="92">
        <f t="shared" si="9"/>
        <v>18381.81818181818</v>
      </c>
      <c r="V172" s="92">
        <f t="shared" si="10"/>
        <v>183818181.81818178</v>
      </c>
      <c r="W172" s="92">
        <f t="shared" si="11"/>
        <v>18381818.18181818</v>
      </c>
      <c r="Y172" s="115"/>
    </row>
    <row r="173" spans="1:25" s="94" customFormat="1" ht="30" customHeight="1">
      <c r="A173" s="85">
        <v>163</v>
      </c>
      <c r="B173" s="86" t="s">
        <v>50</v>
      </c>
      <c r="C173" s="127" t="s">
        <v>43</v>
      </c>
      <c r="D173" s="127" t="s">
        <v>51</v>
      </c>
      <c r="E173" s="127" t="s">
        <v>54</v>
      </c>
      <c r="F173" s="117" t="s">
        <v>49</v>
      </c>
      <c r="G173" s="88">
        <v>46216</v>
      </c>
      <c r="H173" s="87" t="s">
        <v>1030</v>
      </c>
      <c r="I173" s="88" t="s">
        <v>1031</v>
      </c>
      <c r="J173" s="89" t="s">
        <v>2492</v>
      </c>
      <c r="K173" s="89" t="s">
        <v>1039</v>
      </c>
      <c r="L173" s="89" t="s">
        <v>1028</v>
      </c>
      <c r="M173" s="118" t="s">
        <v>1040</v>
      </c>
      <c r="N173" s="90">
        <v>20000</v>
      </c>
      <c r="O173" s="91">
        <v>46211</v>
      </c>
      <c r="P173" s="90" t="s">
        <v>964</v>
      </c>
      <c r="Q173" s="90">
        <v>80</v>
      </c>
      <c r="R173" s="90">
        <v>25950</v>
      </c>
      <c r="S173" s="130">
        <v>5300</v>
      </c>
      <c r="T173" s="90">
        <f t="shared" si="8"/>
        <v>20650</v>
      </c>
      <c r="U173" s="92">
        <f t="shared" si="9"/>
        <v>18772.727272727268</v>
      </c>
      <c r="V173" s="92">
        <f t="shared" si="10"/>
        <v>375454545.45454538</v>
      </c>
      <c r="W173" s="92">
        <f t="shared" si="11"/>
        <v>37545454.545454539</v>
      </c>
      <c r="Y173" s="115"/>
    </row>
    <row r="174" spans="1:25" s="94" customFormat="1" ht="30" customHeight="1">
      <c r="A174" s="85">
        <v>164</v>
      </c>
      <c r="B174" s="86" t="s">
        <v>50</v>
      </c>
      <c r="C174" s="127" t="s">
        <v>43</v>
      </c>
      <c r="D174" s="127" t="s">
        <v>51</v>
      </c>
      <c r="E174" s="127" t="s">
        <v>55</v>
      </c>
      <c r="F174" s="117" t="s">
        <v>49</v>
      </c>
      <c r="G174" s="88">
        <v>46216</v>
      </c>
      <c r="H174" s="87" t="s">
        <v>1041</v>
      </c>
      <c r="I174" s="88" t="s">
        <v>1032</v>
      </c>
      <c r="J174" s="89" t="s">
        <v>2568</v>
      </c>
      <c r="K174" s="89" t="s">
        <v>1042</v>
      </c>
      <c r="L174" s="89" t="s">
        <v>1027</v>
      </c>
      <c r="M174" s="118" t="s">
        <v>1043</v>
      </c>
      <c r="N174" s="90">
        <v>160000</v>
      </c>
      <c r="O174" s="91">
        <v>46211</v>
      </c>
      <c r="P174" s="90" t="s">
        <v>964</v>
      </c>
      <c r="Q174" s="90">
        <v>80</v>
      </c>
      <c r="R174" s="90">
        <v>25460</v>
      </c>
      <c r="S174" s="130">
        <v>5300</v>
      </c>
      <c r="T174" s="90">
        <f t="shared" si="8"/>
        <v>20160</v>
      </c>
      <c r="U174" s="92">
        <f t="shared" si="9"/>
        <v>18327.272727272724</v>
      </c>
      <c r="V174" s="92">
        <f t="shared" si="10"/>
        <v>2932363636.363636</v>
      </c>
      <c r="W174" s="92">
        <f t="shared" si="11"/>
        <v>293236363.63636363</v>
      </c>
      <c r="Y174" s="115"/>
    </row>
    <row r="175" spans="1:25" s="94" customFormat="1" ht="30" customHeight="1">
      <c r="A175" s="85">
        <v>165</v>
      </c>
      <c r="B175" s="86" t="s">
        <v>422</v>
      </c>
      <c r="C175" s="127" t="s">
        <v>43</v>
      </c>
      <c r="D175" s="127" t="s">
        <v>51</v>
      </c>
      <c r="E175" s="127" t="s">
        <v>53</v>
      </c>
      <c r="F175" s="117" t="s">
        <v>423</v>
      </c>
      <c r="G175" s="88">
        <v>46216</v>
      </c>
      <c r="H175" s="87" t="s">
        <v>1044</v>
      </c>
      <c r="I175" s="88" t="s">
        <v>1033</v>
      </c>
      <c r="J175" s="89" t="s">
        <v>2295</v>
      </c>
      <c r="K175" s="89" t="s">
        <v>1045</v>
      </c>
      <c r="L175" s="89" t="s">
        <v>1027</v>
      </c>
      <c r="M175" s="118"/>
      <c r="N175" s="90">
        <v>40000</v>
      </c>
      <c r="O175" s="91">
        <v>46211</v>
      </c>
      <c r="P175" s="90" t="s">
        <v>964</v>
      </c>
      <c r="Q175" s="90">
        <v>80</v>
      </c>
      <c r="R175" s="90">
        <v>25520</v>
      </c>
      <c r="S175" s="130">
        <v>4900</v>
      </c>
      <c r="T175" s="90">
        <f t="shared" si="8"/>
        <v>20620</v>
      </c>
      <c r="U175" s="92">
        <f t="shared" si="9"/>
        <v>18745.454545454544</v>
      </c>
      <c r="V175" s="92">
        <f t="shared" si="10"/>
        <v>749818181.81818175</v>
      </c>
      <c r="W175" s="92">
        <f t="shared" si="11"/>
        <v>74981818.181818172</v>
      </c>
      <c r="Y175" s="115"/>
    </row>
    <row r="176" spans="1:25" s="94" customFormat="1" ht="30" customHeight="1">
      <c r="A176" s="85">
        <v>166</v>
      </c>
      <c r="B176" s="86" t="s">
        <v>422</v>
      </c>
      <c r="C176" s="127" t="s">
        <v>43</v>
      </c>
      <c r="D176" s="127" t="s">
        <v>51</v>
      </c>
      <c r="E176" s="127" t="s">
        <v>55</v>
      </c>
      <c r="F176" s="117" t="s">
        <v>423</v>
      </c>
      <c r="G176" s="88">
        <v>46216</v>
      </c>
      <c r="H176" s="87" t="s">
        <v>1047</v>
      </c>
      <c r="I176" s="88" t="s">
        <v>1034</v>
      </c>
      <c r="J176" s="89" t="s">
        <v>2565</v>
      </c>
      <c r="K176" s="89" t="s">
        <v>1049</v>
      </c>
      <c r="L176" s="89" t="s">
        <v>1027</v>
      </c>
      <c r="M176" s="118"/>
      <c r="N176" s="90">
        <v>40000</v>
      </c>
      <c r="O176" s="91">
        <v>46211</v>
      </c>
      <c r="P176" s="90" t="s">
        <v>964</v>
      </c>
      <c r="Q176" s="90">
        <v>80</v>
      </c>
      <c r="R176" s="90">
        <v>25690</v>
      </c>
      <c r="S176" s="130">
        <v>4900</v>
      </c>
      <c r="T176" s="90">
        <f t="shared" si="8"/>
        <v>20790</v>
      </c>
      <c r="U176" s="92">
        <f t="shared" si="9"/>
        <v>18899.999999999996</v>
      </c>
      <c r="V176" s="92">
        <f t="shared" si="10"/>
        <v>755999999.99999988</v>
      </c>
      <c r="W176" s="92">
        <f t="shared" si="11"/>
        <v>75599999.999999985</v>
      </c>
      <c r="Y176" s="115"/>
    </row>
    <row r="177" spans="1:25" s="94" customFormat="1" ht="30" customHeight="1">
      <c r="A177" s="85">
        <v>167</v>
      </c>
      <c r="B177" s="86" t="s">
        <v>422</v>
      </c>
      <c r="C177" s="127" t="s">
        <v>43</v>
      </c>
      <c r="D177" s="127" t="s">
        <v>51</v>
      </c>
      <c r="E177" s="127" t="s">
        <v>55</v>
      </c>
      <c r="F177" s="117" t="s">
        <v>423</v>
      </c>
      <c r="G177" s="88">
        <v>46216</v>
      </c>
      <c r="H177" s="87" t="s">
        <v>1048</v>
      </c>
      <c r="I177" s="88" t="s">
        <v>1035</v>
      </c>
      <c r="J177" s="89" t="s">
        <v>2566</v>
      </c>
      <c r="K177" s="89" t="s">
        <v>1049</v>
      </c>
      <c r="L177" s="89" t="s">
        <v>1027</v>
      </c>
      <c r="M177" s="118"/>
      <c r="N177" s="90">
        <v>40000</v>
      </c>
      <c r="O177" s="91">
        <v>46211</v>
      </c>
      <c r="P177" s="90" t="s">
        <v>964</v>
      </c>
      <c r="Q177" s="90">
        <v>80</v>
      </c>
      <c r="R177" s="90">
        <v>25690</v>
      </c>
      <c r="S177" s="130">
        <v>4900</v>
      </c>
      <c r="T177" s="90">
        <f t="shared" si="8"/>
        <v>20790</v>
      </c>
      <c r="U177" s="92">
        <f t="shared" si="9"/>
        <v>18899.999999999996</v>
      </c>
      <c r="V177" s="92">
        <f t="shared" si="10"/>
        <v>755999999.99999988</v>
      </c>
      <c r="W177" s="92">
        <f t="shared" si="11"/>
        <v>75599999.999999985</v>
      </c>
      <c r="Y177" s="115"/>
    </row>
    <row r="178" spans="1:25" s="94" customFormat="1" ht="30" customHeight="1">
      <c r="A178" s="85">
        <v>168</v>
      </c>
      <c r="B178" s="86" t="s">
        <v>422</v>
      </c>
      <c r="C178" s="127" t="s">
        <v>43</v>
      </c>
      <c r="D178" s="127" t="s">
        <v>51</v>
      </c>
      <c r="E178" s="127" t="s">
        <v>55</v>
      </c>
      <c r="F178" s="117" t="s">
        <v>1046</v>
      </c>
      <c r="G178" s="88">
        <v>46216</v>
      </c>
      <c r="H178" s="87" t="s">
        <v>1050</v>
      </c>
      <c r="I178" s="88" t="s">
        <v>1036</v>
      </c>
      <c r="J178" s="89" t="s">
        <v>2567</v>
      </c>
      <c r="K178" s="89" t="s">
        <v>1051</v>
      </c>
      <c r="L178" s="89" t="s">
        <v>1027</v>
      </c>
      <c r="M178" s="118"/>
      <c r="N178" s="90">
        <v>40000</v>
      </c>
      <c r="O178" s="91">
        <v>46211</v>
      </c>
      <c r="P178" s="90" t="s">
        <v>964</v>
      </c>
      <c r="Q178" s="90">
        <v>80</v>
      </c>
      <c r="R178" s="90">
        <v>25460</v>
      </c>
      <c r="S178" s="130">
        <v>4900</v>
      </c>
      <c r="T178" s="90">
        <f t="shared" si="8"/>
        <v>20560</v>
      </c>
      <c r="U178" s="92">
        <f t="shared" si="9"/>
        <v>18690.909090909088</v>
      </c>
      <c r="V178" s="92">
        <f t="shared" si="10"/>
        <v>747636363.63636351</v>
      </c>
      <c r="W178" s="92">
        <f t="shared" si="11"/>
        <v>74763636.36363636</v>
      </c>
      <c r="Y178" s="115"/>
    </row>
    <row r="179" spans="1:25" s="94" customFormat="1" ht="30" customHeight="1">
      <c r="A179" s="85">
        <v>169</v>
      </c>
      <c r="B179" s="86" t="s">
        <v>50</v>
      </c>
      <c r="C179" s="127" t="s">
        <v>43</v>
      </c>
      <c r="D179" s="127" t="s">
        <v>51</v>
      </c>
      <c r="E179" s="127" t="s">
        <v>55</v>
      </c>
      <c r="F179" s="117" t="s">
        <v>49</v>
      </c>
      <c r="G179" s="88">
        <v>46216</v>
      </c>
      <c r="H179" s="87" t="s">
        <v>1052</v>
      </c>
      <c r="I179" s="88" t="s">
        <v>1037</v>
      </c>
      <c r="J179" s="89" t="s">
        <v>2569</v>
      </c>
      <c r="K179" s="89" t="s">
        <v>1053</v>
      </c>
      <c r="L179" s="89" t="s">
        <v>1027</v>
      </c>
      <c r="M179" s="118" t="s">
        <v>1054</v>
      </c>
      <c r="N179" s="90">
        <v>20000</v>
      </c>
      <c r="O179" s="91">
        <v>46211</v>
      </c>
      <c r="P179" s="90" t="s">
        <v>964</v>
      </c>
      <c r="Q179" s="90">
        <v>80</v>
      </c>
      <c r="R179" s="90">
        <v>25460</v>
      </c>
      <c r="S179" s="130">
        <v>5300</v>
      </c>
      <c r="T179" s="90">
        <f t="shared" si="8"/>
        <v>20160</v>
      </c>
      <c r="U179" s="92">
        <f t="shared" si="9"/>
        <v>18327.272727272724</v>
      </c>
      <c r="V179" s="92">
        <f t="shared" si="10"/>
        <v>366545454.5454545</v>
      </c>
      <c r="W179" s="92">
        <f t="shared" si="11"/>
        <v>36654545.454545453</v>
      </c>
      <c r="Y179" s="115"/>
    </row>
    <row r="180" spans="1:25" s="94" customFormat="1" ht="30" customHeight="1">
      <c r="A180" s="85">
        <v>170</v>
      </c>
      <c r="B180" s="86" t="s">
        <v>50</v>
      </c>
      <c r="C180" s="127" t="s">
        <v>43</v>
      </c>
      <c r="D180" s="127" t="s">
        <v>51</v>
      </c>
      <c r="E180" s="127" t="s">
        <v>54</v>
      </c>
      <c r="F180" s="117" t="s">
        <v>49</v>
      </c>
      <c r="G180" s="88">
        <v>46216</v>
      </c>
      <c r="H180" s="87" t="s">
        <v>1055</v>
      </c>
      <c r="I180" s="88" t="s">
        <v>1038</v>
      </c>
      <c r="J180" s="89" t="s">
        <v>2493</v>
      </c>
      <c r="K180" s="89" t="s">
        <v>1056</v>
      </c>
      <c r="L180" s="89" t="s">
        <v>1027</v>
      </c>
      <c r="M180" s="118" t="s">
        <v>1057</v>
      </c>
      <c r="N180" s="90">
        <v>20000</v>
      </c>
      <c r="O180" s="91">
        <v>46211</v>
      </c>
      <c r="P180" s="90" t="s">
        <v>964</v>
      </c>
      <c r="Q180" s="90">
        <v>80</v>
      </c>
      <c r="R180" s="90">
        <v>25940</v>
      </c>
      <c r="S180" s="130">
        <v>5300</v>
      </c>
      <c r="T180" s="90">
        <f t="shared" si="8"/>
        <v>20640</v>
      </c>
      <c r="U180" s="92">
        <f t="shared" si="9"/>
        <v>18763.63636363636</v>
      </c>
      <c r="V180" s="92">
        <f t="shared" si="10"/>
        <v>375272727.27272719</v>
      </c>
      <c r="W180" s="92">
        <f t="shared" si="11"/>
        <v>37527272.727272719</v>
      </c>
      <c r="Y180" s="115"/>
    </row>
    <row r="181" spans="1:25" s="94" customFormat="1" ht="30" customHeight="1">
      <c r="A181" s="85">
        <v>171</v>
      </c>
      <c r="B181" s="86" t="s">
        <v>50</v>
      </c>
      <c r="C181" s="127" t="s">
        <v>43</v>
      </c>
      <c r="D181" s="127" t="s">
        <v>51</v>
      </c>
      <c r="E181" s="127" t="s">
        <v>52</v>
      </c>
      <c r="F181" s="117" t="s">
        <v>49</v>
      </c>
      <c r="G181" s="88">
        <v>46216</v>
      </c>
      <c r="H181" s="87" t="s">
        <v>1075</v>
      </c>
      <c r="I181" s="88" t="s">
        <v>1076</v>
      </c>
      <c r="J181" s="89" t="s">
        <v>1077</v>
      </c>
      <c r="K181" s="89" t="s">
        <v>1078</v>
      </c>
      <c r="L181" s="89" t="s">
        <v>1028</v>
      </c>
      <c r="M181" s="118" t="s">
        <v>1079</v>
      </c>
      <c r="N181" s="90">
        <v>20000</v>
      </c>
      <c r="O181" s="91">
        <v>46211</v>
      </c>
      <c r="P181" s="90" t="s">
        <v>964</v>
      </c>
      <c r="Q181" s="90">
        <v>80</v>
      </c>
      <c r="R181" s="90">
        <v>25400</v>
      </c>
      <c r="S181" s="130">
        <v>5300</v>
      </c>
      <c r="T181" s="90">
        <f t="shared" si="8"/>
        <v>20100</v>
      </c>
      <c r="U181" s="92">
        <f t="shared" si="9"/>
        <v>18272.727272727268</v>
      </c>
      <c r="V181" s="92">
        <f t="shared" si="10"/>
        <v>365454545.45454538</v>
      </c>
      <c r="W181" s="92">
        <f t="shared" si="11"/>
        <v>36545454.545454539</v>
      </c>
      <c r="Y181" s="115"/>
    </row>
    <row r="182" spans="1:25" s="94" customFormat="1" ht="30" customHeight="1">
      <c r="A182" s="85">
        <v>172</v>
      </c>
      <c r="B182" s="86" t="s">
        <v>50</v>
      </c>
      <c r="C182" s="127" t="s">
        <v>43</v>
      </c>
      <c r="D182" s="127" t="s">
        <v>51</v>
      </c>
      <c r="E182" s="127" t="s">
        <v>52</v>
      </c>
      <c r="F182" s="117" t="s">
        <v>49</v>
      </c>
      <c r="G182" s="88">
        <v>46216</v>
      </c>
      <c r="H182" s="87" t="s">
        <v>1080</v>
      </c>
      <c r="I182" s="88" t="s">
        <v>1081</v>
      </c>
      <c r="J182" s="89" t="s">
        <v>1082</v>
      </c>
      <c r="K182" s="89" t="s">
        <v>1083</v>
      </c>
      <c r="L182" s="89" t="s">
        <v>1028</v>
      </c>
      <c r="M182" s="118" t="s">
        <v>1084</v>
      </c>
      <c r="N182" s="90">
        <v>16000</v>
      </c>
      <c r="O182" s="91">
        <v>46211</v>
      </c>
      <c r="P182" s="90" t="s">
        <v>964</v>
      </c>
      <c r="Q182" s="90">
        <v>80</v>
      </c>
      <c r="R182" s="90">
        <v>25400</v>
      </c>
      <c r="S182" s="130">
        <v>5300</v>
      </c>
      <c r="T182" s="90">
        <f t="shared" si="8"/>
        <v>20100</v>
      </c>
      <c r="U182" s="92">
        <f t="shared" si="9"/>
        <v>18272.727272727268</v>
      </c>
      <c r="V182" s="92">
        <f t="shared" si="10"/>
        <v>292363636.36363631</v>
      </c>
      <c r="W182" s="92">
        <f t="shared" si="11"/>
        <v>29236363.636363633</v>
      </c>
      <c r="Y182" s="115"/>
    </row>
    <row r="183" spans="1:25" s="94" customFormat="1" ht="30" customHeight="1">
      <c r="A183" s="85">
        <v>173</v>
      </c>
      <c r="B183" s="86" t="s">
        <v>50</v>
      </c>
      <c r="C183" s="127" t="s">
        <v>43</v>
      </c>
      <c r="D183" s="127" t="s">
        <v>51</v>
      </c>
      <c r="E183" s="127" t="s">
        <v>52</v>
      </c>
      <c r="F183" s="117" t="s">
        <v>49</v>
      </c>
      <c r="G183" s="88">
        <v>46216</v>
      </c>
      <c r="H183" s="87" t="s">
        <v>1085</v>
      </c>
      <c r="I183" s="88" t="s">
        <v>1086</v>
      </c>
      <c r="J183" s="89" t="s">
        <v>1087</v>
      </c>
      <c r="K183" s="89" t="s">
        <v>1088</v>
      </c>
      <c r="L183" s="89" t="s">
        <v>1028</v>
      </c>
      <c r="M183" s="118" t="s">
        <v>1089</v>
      </c>
      <c r="N183" s="90">
        <v>20000</v>
      </c>
      <c r="O183" s="91">
        <v>46211</v>
      </c>
      <c r="P183" s="90" t="s">
        <v>964</v>
      </c>
      <c r="Q183" s="90">
        <v>80</v>
      </c>
      <c r="R183" s="90">
        <v>25400</v>
      </c>
      <c r="S183" s="130">
        <v>5300</v>
      </c>
      <c r="T183" s="90">
        <f t="shared" si="8"/>
        <v>20100</v>
      </c>
      <c r="U183" s="92">
        <f t="shared" si="9"/>
        <v>18272.727272727268</v>
      </c>
      <c r="V183" s="92">
        <f t="shared" si="10"/>
        <v>365454545.45454538</v>
      </c>
      <c r="W183" s="92">
        <f t="shared" si="11"/>
        <v>36545454.545454539</v>
      </c>
      <c r="Y183" s="115"/>
    </row>
    <row r="184" spans="1:25" s="94" customFormat="1" ht="30" customHeight="1">
      <c r="A184" s="85">
        <v>174</v>
      </c>
      <c r="B184" s="86" t="s">
        <v>50</v>
      </c>
      <c r="C184" s="127" t="s">
        <v>43</v>
      </c>
      <c r="D184" s="127" t="s">
        <v>51</v>
      </c>
      <c r="E184" s="127" t="s">
        <v>52</v>
      </c>
      <c r="F184" s="117" t="s">
        <v>49</v>
      </c>
      <c r="G184" s="88">
        <v>46216</v>
      </c>
      <c r="H184" s="87" t="s">
        <v>1090</v>
      </c>
      <c r="I184" s="88" t="s">
        <v>1091</v>
      </c>
      <c r="J184" s="89" t="s">
        <v>1092</v>
      </c>
      <c r="K184" s="89" t="s">
        <v>1093</v>
      </c>
      <c r="L184" s="89" t="s">
        <v>1028</v>
      </c>
      <c r="M184" s="118" t="s">
        <v>1094</v>
      </c>
      <c r="N184" s="90">
        <v>14000</v>
      </c>
      <c r="O184" s="91">
        <v>46211</v>
      </c>
      <c r="P184" s="90" t="s">
        <v>964</v>
      </c>
      <c r="Q184" s="90">
        <v>80</v>
      </c>
      <c r="R184" s="90">
        <v>25400</v>
      </c>
      <c r="S184" s="130">
        <v>1154</v>
      </c>
      <c r="T184" s="90">
        <f t="shared" si="8"/>
        <v>24246</v>
      </c>
      <c r="U184" s="92">
        <f t="shared" si="9"/>
        <v>22041.81818181818</v>
      </c>
      <c r="V184" s="92">
        <f t="shared" si="10"/>
        <v>308585454.5454545</v>
      </c>
      <c r="W184" s="92">
        <f t="shared" si="11"/>
        <v>30858545.454545453</v>
      </c>
      <c r="Y184" s="115"/>
    </row>
    <row r="185" spans="1:25" s="94" customFormat="1" ht="30" customHeight="1">
      <c r="A185" s="85">
        <v>175</v>
      </c>
      <c r="B185" s="86" t="s">
        <v>50</v>
      </c>
      <c r="C185" s="127" t="s">
        <v>43</v>
      </c>
      <c r="D185" s="127" t="s">
        <v>51</v>
      </c>
      <c r="E185" s="127" t="s">
        <v>54</v>
      </c>
      <c r="F185" s="117" t="s">
        <v>49</v>
      </c>
      <c r="G185" s="88">
        <v>46216</v>
      </c>
      <c r="H185" s="87" t="s">
        <v>1095</v>
      </c>
      <c r="I185" s="88" t="s">
        <v>1096</v>
      </c>
      <c r="J185" s="89" t="s">
        <v>2496</v>
      </c>
      <c r="K185" s="89" t="s">
        <v>1100</v>
      </c>
      <c r="L185" s="89" t="s">
        <v>1028</v>
      </c>
      <c r="M185" s="118" t="s">
        <v>1101</v>
      </c>
      <c r="N185" s="90">
        <v>12000</v>
      </c>
      <c r="O185" s="91">
        <v>46211</v>
      </c>
      <c r="P185" s="90" t="s">
        <v>964</v>
      </c>
      <c r="Q185" s="90">
        <v>80</v>
      </c>
      <c r="R185" s="90">
        <v>26080</v>
      </c>
      <c r="S185" s="130">
        <v>5300</v>
      </c>
      <c r="T185" s="90">
        <f t="shared" si="8"/>
        <v>20780</v>
      </c>
      <c r="U185" s="92">
        <f t="shared" si="9"/>
        <v>18890.909090909088</v>
      </c>
      <c r="V185" s="92">
        <f t="shared" si="10"/>
        <v>226690909.09090906</v>
      </c>
      <c r="W185" s="92">
        <f t="shared" si="11"/>
        <v>22669090.909090906</v>
      </c>
      <c r="Y185" s="115"/>
    </row>
    <row r="186" spans="1:25" s="94" customFormat="1" ht="30" customHeight="1">
      <c r="A186" s="85">
        <v>176</v>
      </c>
      <c r="B186" s="86" t="s">
        <v>50</v>
      </c>
      <c r="C186" s="127" t="s">
        <v>43</v>
      </c>
      <c r="D186" s="127" t="s">
        <v>51</v>
      </c>
      <c r="E186" s="127" t="s">
        <v>53</v>
      </c>
      <c r="F186" s="117" t="s">
        <v>49</v>
      </c>
      <c r="G186" s="88">
        <v>46216</v>
      </c>
      <c r="H186" s="87" t="s">
        <v>1102</v>
      </c>
      <c r="I186" s="88" t="s">
        <v>1097</v>
      </c>
      <c r="J186" s="89" t="s">
        <v>2468</v>
      </c>
      <c r="K186" s="89" t="s">
        <v>1103</v>
      </c>
      <c r="L186" s="89" t="s">
        <v>1028</v>
      </c>
      <c r="M186" s="118" t="s">
        <v>1104</v>
      </c>
      <c r="N186" s="90">
        <v>12000</v>
      </c>
      <c r="O186" s="91">
        <v>46211</v>
      </c>
      <c r="P186" s="90" t="s">
        <v>964</v>
      </c>
      <c r="Q186" s="90">
        <v>80</v>
      </c>
      <c r="R186" s="90">
        <v>25520</v>
      </c>
      <c r="S186" s="130">
        <v>5300</v>
      </c>
      <c r="T186" s="90">
        <f t="shared" si="8"/>
        <v>20220</v>
      </c>
      <c r="U186" s="92">
        <f t="shared" si="9"/>
        <v>18381.81818181818</v>
      </c>
      <c r="V186" s="92">
        <f t="shared" si="10"/>
        <v>220581818.18181816</v>
      </c>
      <c r="W186" s="92">
        <f t="shared" si="11"/>
        <v>22058181.818181816</v>
      </c>
      <c r="Y186" s="115"/>
    </row>
    <row r="187" spans="1:25" s="94" customFormat="1" ht="30" customHeight="1">
      <c r="A187" s="85">
        <v>177</v>
      </c>
      <c r="B187" s="86" t="s">
        <v>50</v>
      </c>
      <c r="C187" s="127" t="s">
        <v>43</v>
      </c>
      <c r="D187" s="127" t="s">
        <v>51</v>
      </c>
      <c r="E187" s="127" t="s">
        <v>53</v>
      </c>
      <c r="F187" s="117" t="s">
        <v>49</v>
      </c>
      <c r="G187" s="88">
        <v>46216</v>
      </c>
      <c r="H187" s="87" t="s">
        <v>1105</v>
      </c>
      <c r="I187" s="88" t="s">
        <v>1098</v>
      </c>
      <c r="J187" s="89" t="s">
        <v>2296</v>
      </c>
      <c r="K187" s="89" t="s">
        <v>1106</v>
      </c>
      <c r="L187" s="89" t="s">
        <v>1027</v>
      </c>
      <c r="M187" s="118" t="s">
        <v>1107</v>
      </c>
      <c r="N187" s="90">
        <v>4000</v>
      </c>
      <c r="O187" s="91">
        <v>46211</v>
      </c>
      <c r="P187" s="90" t="s">
        <v>964</v>
      </c>
      <c r="Q187" s="90">
        <v>80</v>
      </c>
      <c r="R187" s="90">
        <v>25430</v>
      </c>
      <c r="S187" s="130">
        <v>5200</v>
      </c>
      <c r="T187" s="90">
        <f t="shared" si="8"/>
        <v>20230</v>
      </c>
      <c r="U187" s="92">
        <f t="shared" si="9"/>
        <v>18390.909090909088</v>
      </c>
      <c r="V187" s="92">
        <f t="shared" si="10"/>
        <v>73563636.36363636</v>
      </c>
      <c r="W187" s="92">
        <f t="shared" si="11"/>
        <v>7356363.6363636367</v>
      </c>
      <c r="Y187" s="115"/>
    </row>
    <row r="188" spans="1:25" s="94" customFormat="1" ht="30" customHeight="1">
      <c r="A188" s="85">
        <v>178</v>
      </c>
      <c r="B188" s="86" t="s">
        <v>50</v>
      </c>
      <c r="C188" s="127" t="s">
        <v>43</v>
      </c>
      <c r="D188" s="127" t="s">
        <v>51</v>
      </c>
      <c r="E188" s="127" t="s">
        <v>54</v>
      </c>
      <c r="F188" s="117" t="s">
        <v>49</v>
      </c>
      <c r="G188" s="88">
        <v>46216</v>
      </c>
      <c r="H188" s="87" t="s">
        <v>1108</v>
      </c>
      <c r="I188" s="88" t="s">
        <v>1099</v>
      </c>
      <c r="J188" s="89" t="s">
        <v>2494</v>
      </c>
      <c r="K188" s="89" t="s">
        <v>1109</v>
      </c>
      <c r="L188" s="89" t="s">
        <v>1027</v>
      </c>
      <c r="M188" s="118" t="s">
        <v>1110</v>
      </c>
      <c r="N188" s="90">
        <v>20000</v>
      </c>
      <c r="O188" s="91">
        <v>46211</v>
      </c>
      <c r="P188" s="90" t="s">
        <v>964</v>
      </c>
      <c r="Q188" s="90">
        <v>80</v>
      </c>
      <c r="R188" s="90">
        <v>25990</v>
      </c>
      <c r="S188" s="130">
        <v>5300</v>
      </c>
      <c r="T188" s="90">
        <f t="shared" si="8"/>
        <v>20690</v>
      </c>
      <c r="U188" s="92">
        <f t="shared" si="9"/>
        <v>18809.090909090904</v>
      </c>
      <c r="V188" s="92">
        <f t="shared" si="10"/>
        <v>376181818.18181813</v>
      </c>
      <c r="W188" s="92">
        <f t="shared" si="11"/>
        <v>37618181.818181813</v>
      </c>
      <c r="Y188" s="115"/>
    </row>
    <row r="189" spans="1:25" s="94" customFormat="1" ht="30" customHeight="1">
      <c r="A189" s="85">
        <v>179</v>
      </c>
      <c r="B189" s="86" t="s">
        <v>50</v>
      </c>
      <c r="C189" s="127" t="s">
        <v>43</v>
      </c>
      <c r="D189" s="127" t="s">
        <v>51</v>
      </c>
      <c r="E189" s="127" t="s">
        <v>54</v>
      </c>
      <c r="F189" s="117" t="s">
        <v>49</v>
      </c>
      <c r="G189" s="88">
        <v>46216</v>
      </c>
      <c r="H189" s="87" t="s">
        <v>1111</v>
      </c>
      <c r="I189" s="88" t="s">
        <v>1112</v>
      </c>
      <c r="J189" s="89" t="s">
        <v>2495</v>
      </c>
      <c r="K189" s="89" t="s">
        <v>1114</v>
      </c>
      <c r="L189" s="89" t="s">
        <v>1027</v>
      </c>
      <c r="M189" s="118" t="s">
        <v>1115</v>
      </c>
      <c r="N189" s="90">
        <v>20000</v>
      </c>
      <c r="O189" s="91">
        <v>46211</v>
      </c>
      <c r="P189" s="90" t="s">
        <v>964</v>
      </c>
      <c r="Q189" s="90">
        <v>80</v>
      </c>
      <c r="R189" s="90">
        <v>25990</v>
      </c>
      <c r="S189" s="130">
        <v>5300</v>
      </c>
      <c r="T189" s="90">
        <f t="shared" si="8"/>
        <v>20690</v>
      </c>
      <c r="U189" s="92">
        <f t="shared" si="9"/>
        <v>18809.090909090904</v>
      </c>
      <c r="V189" s="92">
        <f t="shared" si="10"/>
        <v>376181818.18181813</v>
      </c>
      <c r="W189" s="92">
        <f t="shared" si="11"/>
        <v>37618181.818181813</v>
      </c>
      <c r="Y189" s="115"/>
    </row>
    <row r="190" spans="1:25" s="94" customFormat="1" ht="30" customHeight="1">
      <c r="A190" s="85">
        <v>180</v>
      </c>
      <c r="B190" s="86" t="s">
        <v>422</v>
      </c>
      <c r="C190" s="127" t="s">
        <v>43</v>
      </c>
      <c r="D190" s="127" t="s">
        <v>51</v>
      </c>
      <c r="E190" s="127" t="s">
        <v>55</v>
      </c>
      <c r="F190" s="117" t="s">
        <v>1046</v>
      </c>
      <c r="G190" s="88">
        <v>46216</v>
      </c>
      <c r="H190" s="87" t="s">
        <v>1116</v>
      </c>
      <c r="I190" s="88" t="s">
        <v>1113</v>
      </c>
      <c r="J190" s="89" t="s">
        <v>2570</v>
      </c>
      <c r="K190" s="89" t="s">
        <v>1117</v>
      </c>
      <c r="L190" s="89" t="s">
        <v>1027</v>
      </c>
      <c r="N190" s="90">
        <v>40000</v>
      </c>
      <c r="O190" s="91">
        <v>46211</v>
      </c>
      <c r="P190" s="90" t="s">
        <v>964</v>
      </c>
      <c r="Q190" s="90">
        <v>80</v>
      </c>
      <c r="R190" s="90">
        <v>25460</v>
      </c>
      <c r="S190" s="130">
        <v>5130</v>
      </c>
      <c r="T190" s="90">
        <f t="shared" si="8"/>
        <v>20330</v>
      </c>
      <c r="U190" s="92">
        <f t="shared" si="9"/>
        <v>18481.81818181818</v>
      </c>
      <c r="V190" s="92">
        <f t="shared" si="10"/>
        <v>739272727.27272713</v>
      </c>
      <c r="W190" s="92">
        <f t="shared" si="11"/>
        <v>73927272.727272719</v>
      </c>
      <c r="Y190" s="115"/>
    </row>
    <row r="191" spans="1:25" s="94" customFormat="1" ht="30" customHeight="1">
      <c r="A191" s="85">
        <v>181</v>
      </c>
      <c r="B191" s="86" t="s">
        <v>50</v>
      </c>
      <c r="C191" s="127" t="s">
        <v>43</v>
      </c>
      <c r="D191" s="127" t="s">
        <v>51</v>
      </c>
      <c r="E191" s="127" t="s">
        <v>61</v>
      </c>
      <c r="F191" s="117" t="s">
        <v>49</v>
      </c>
      <c r="G191" s="88">
        <v>46216</v>
      </c>
      <c r="H191" s="87" t="s">
        <v>1142</v>
      </c>
      <c r="I191" s="88" t="s">
        <v>1143</v>
      </c>
      <c r="J191" s="89" t="s">
        <v>2440</v>
      </c>
      <c r="K191" s="89" t="s">
        <v>1144</v>
      </c>
      <c r="L191" s="89" t="s">
        <v>1028</v>
      </c>
      <c r="M191" s="118" t="s">
        <v>1145</v>
      </c>
      <c r="N191" s="90">
        <v>60000</v>
      </c>
      <c r="O191" s="91">
        <v>46211</v>
      </c>
      <c r="P191" s="90" t="s">
        <v>964</v>
      </c>
      <c r="Q191" s="90">
        <v>80</v>
      </c>
      <c r="R191" s="90">
        <v>25900</v>
      </c>
      <c r="S191" s="130">
        <v>5368</v>
      </c>
      <c r="T191" s="90">
        <f t="shared" si="8"/>
        <v>20532</v>
      </c>
      <c r="U191" s="92">
        <f t="shared" si="9"/>
        <v>18665.454545454544</v>
      </c>
      <c r="V191" s="92">
        <f t="shared" si="10"/>
        <v>1119927272.7272725</v>
      </c>
      <c r="W191" s="92">
        <f t="shared" si="11"/>
        <v>111992727.27272725</v>
      </c>
      <c r="Y191" s="115"/>
    </row>
    <row r="192" spans="1:25" s="94" customFormat="1" ht="30" customHeight="1">
      <c r="A192" s="85">
        <v>182</v>
      </c>
      <c r="B192" s="86" t="s">
        <v>50</v>
      </c>
      <c r="C192" s="127" t="s">
        <v>43</v>
      </c>
      <c r="D192" s="127" t="s">
        <v>51</v>
      </c>
      <c r="E192" s="127" t="s">
        <v>61</v>
      </c>
      <c r="F192" s="117" t="s">
        <v>49</v>
      </c>
      <c r="G192" s="88">
        <v>46216</v>
      </c>
      <c r="H192" s="87" t="s">
        <v>1147</v>
      </c>
      <c r="I192" s="88" t="s">
        <v>1148</v>
      </c>
      <c r="J192" s="89" t="s">
        <v>2439</v>
      </c>
      <c r="K192" s="89" t="s">
        <v>1149</v>
      </c>
      <c r="L192" s="89" t="s">
        <v>1028</v>
      </c>
      <c r="M192" s="118" t="s">
        <v>1150</v>
      </c>
      <c r="N192" s="90">
        <v>20000</v>
      </c>
      <c r="O192" s="91">
        <v>46211</v>
      </c>
      <c r="P192" s="90" t="s">
        <v>964</v>
      </c>
      <c r="Q192" s="90">
        <v>80</v>
      </c>
      <c r="R192" s="90">
        <v>25590</v>
      </c>
      <c r="S192" s="130">
        <v>5200</v>
      </c>
      <c r="T192" s="90">
        <f t="shared" si="8"/>
        <v>20390</v>
      </c>
      <c r="U192" s="92">
        <f t="shared" si="9"/>
        <v>18536.363636363632</v>
      </c>
      <c r="V192" s="92">
        <f t="shared" si="10"/>
        <v>370727272.72727269</v>
      </c>
      <c r="W192" s="92">
        <f t="shared" si="11"/>
        <v>37072727.272727273</v>
      </c>
      <c r="Y192" s="115"/>
    </row>
    <row r="193" spans="1:25" s="94" customFormat="1" ht="30" customHeight="1">
      <c r="A193" s="85">
        <v>183</v>
      </c>
      <c r="B193" s="86" t="s">
        <v>50</v>
      </c>
      <c r="C193" s="127" t="s">
        <v>43</v>
      </c>
      <c r="D193" s="127" t="s">
        <v>51</v>
      </c>
      <c r="E193" s="127" t="s">
        <v>55</v>
      </c>
      <c r="F193" s="117" t="s">
        <v>49</v>
      </c>
      <c r="G193" s="88">
        <v>46216</v>
      </c>
      <c r="H193" s="87" t="s">
        <v>1154</v>
      </c>
      <c r="I193" s="88" t="s">
        <v>1155</v>
      </c>
      <c r="J193" s="89" t="s">
        <v>2589</v>
      </c>
      <c r="K193" s="89" t="s">
        <v>1156</v>
      </c>
      <c r="L193" s="89" t="s">
        <v>1028</v>
      </c>
      <c r="M193" s="118" t="s">
        <v>1157</v>
      </c>
      <c r="N193" s="90">
        <v>20000</v>
      </c>
      <c r="O193" s="91">
        <v>46211</v>
      </c>
      <c r="P193" s="90" t="s">
        <v>964</v>
      </c>
      <c r="Q193" s="90">
        <v>80</v>
      </c>
      <c r="R193" s="90">
        <v>25460</v>
      </c>
      <c r="S193" s="130">
        <v>5300</v>
      </c>
      <c r="T193" s="90">
        <f t="shared" si="8"/>
        <v>20160</v>
      </c>
      <c r="U193" s="92">
        <f t="shared" si="9"/>
        <v>18327.272727272724</v>
      </c>
      <c r="V193" s="92">
        <f t="shared" si="10"/>
        <v>366545454.5454545</v>
      </c>
      <c r="W193" s="92">
        <f t="shared" si="11"/>
        <v>36654545.454545453</v>
      </c>
      <c r="Y193" s="115"/>
    </row>
    <row r="194" spans="1:25" s="94" customFormat="1" ht="30" customHeight="1">
      <c r="A194" s="85">
        <v>184</v>
      </c>
      <c r="B194" s="86" t="s">
        <v>50</v>
      </c>
      <c r="C194" s="127" t="s">
        <v>43</v>
      </c>
      <c r="D194" s="127" t="s">
        <v>51</v>
      </c>
      <c r="E194" s="127" t="s">
        <v>55</v>
      </c>
      <c r="F194" s="117" t="s">
        <v>49</v>
      </c>
      <c r="G194" s="88">
        <v>46216</v>
      </c>
      <c r="H194" s="87" t="s">
        <v>1158</v>
      </c>
      <c r="I194" s="88" t="s">
        <v>1160</v>
      </c>
      <c r="J194" s="89" t="s">
        <v>2590</v>
      </c>
      <c r="K194" s="89" t="s">
        <v>1159</v>
      </c>
      <c r="L194" s="89" t="s">
        <v>1027</v>
      </c>
      <c r="M194" s="118" t="s">
        <v>1161</v>
      </c>
      <c r="N194" s="90">
        <v>80000</v>
      </c>
      <c r="O194" s="91">
        <v>46211</v>
      </c>
      <c r="P194" s="90" t="s">
        <v>964</v>
      </c>
      <c r="Q194" s="90">
        <v>80</v>
      </c>
      <c r="R194" s="90">
        <v>24770</v>
      </c>
      <c r="S194" s="130">
        <v>3975</v>
      </c>
      <c r="T194" s="90">
        <f t="shared" si="8"/>
        <v>20795</v>
      </c>
      <c r="U194" s="92">
        <f t="shared" si="9"/>
        <v>18904.545454545452</v>
      </c>
      <c r="V194" s="92">
        <f t="shared" si="10"/>
        <v>1512363636.363636</v>
      </c>
      <c r="W194" s="92">
        <f t="shared" si="11"/>
        <v>151236363.6363636</v>
      </c>
      <c r="Y194" s="115"/>
    </row>
    <row r="195" spans="1:25" s="94" customFormat="1" ht="30" customHeight="1">
      <c r="A195" s="85">
        <v>185</v>
      </c>
      <c r="B195" s="86" t="s">
        <v>50</v>
      </c>
      <c r="C195" s="127" t="s">
        <v>43</v>
      </c>
      <c r="D195" s="127" t="s">
        <v>51</v>
      </c>
      <c r="E195" s="127" t="s">
        <v>55</v>
      </c>
      <c r="F195" s="117" t="s">
        <v>49</v>
      </c>
      <c r="G195" s="88">
        <v>46216</v>
      </c>
      <c r="H195" s="87" t="s">
        <v>1162</v>
      </c>
      <c r="I195" s="88" t="s">
        <v>1163</v>
      </c>
      <c r="J195" s="89" t="s">
        <v>2587</v>
      </c>
      <c r="K195" s="89" t="s">
        <v>1164</v>
      </c>
      <c r="L195" s="89" t="s">
        <v>1027</v>
      </c>
      <c r="M195" s="118" t="s">
        <v>1165</v>
      </c>
      <c r="N195" s="90">
        <v>20000</v>
      </c>
      <c r="O195" s="91">
        <v>46211</v>
      </c>
      <c r="P195" s="90" t="s">
        <v>964</v>
      </c>
      <c r="Q195" s="90">
        <v>80</v>
      </c>
      <c r="R195" s="90">
        <v>25460</v>
      </c>
      <c r="S195" s="90">
        <v>5300</v>
      </c>
      <c r="T195" s="90">
        <f t="shared" si="8"/>
        <v>20160</v>
      </c>
      <c r="U195" s="92">
        <f t="shared" si="9"/>
        <v>18327.272727272724</v>
      </c>
      <c r="V195" s="92">
        <f t="shared" si="10"/>
        <v>366545454.5454545</v>
      </c>
      <c r="W195" s="92">
        <f t="shared" si="11"/>
        <v>36654545.454545453</v>
      </c>
      <c r="Y195" s="115"/>
    </row>
    <row r="196" spans="1:25" s="94" customFormat="1" ht="30" customHeight="1">
      <c r="A196" s="85">
        <v>186</v>
      </c>
      <c r="B196" s="86" t="s">
        <v>50</v>
      </c>
      <c r="C196" s="127" t="s">
        <v>43</v>
      </c>
      <c r="D196" s="127" t="s">
        <v>51</v>
      </c>
      <c r="E196" s="127" t="s">
        <v>55</v>
      </c>
      <c r="F196" s="117" t="s">
        <v>49</v>
      </c>
      <c r="G196" s="88">
        <v>46216</v>
      </c>
      <c r="H196" s="87" t="s">
        <v>1166</v>
      </c>
      <c r="I196" s="88" t="s">
        <v>1167</v>
      </c>
      <c r="J196" s="89" t="s">
        <v>2588</v>
      </c>
      <c r="K196" s="89" t="s">
        <v>1168</v>
      </c>
      <c r="L196" s="89" t="s">
        <v>1027</v>
      </c>
      <c r="M196" s="118" t="s">
        <v>1169</v>
      </c>
      <c r="N196" s="90">
        <v>40000</v>
      </c>
      <c r="O196" s="91">
        <v>46211</v>
      </c>
      <c r="P196" s="90" t="s">
        <v>964</v>
      </c>
      <c r="Q196" s="90">
        <v>80</v>
      </c>
      <c r="R196" s="90">
        <v>25430</v>
      </c>
      <c r="S196" s="130">
        <v>5300</v>
      </c>
      <c r="T196" s="90">
        <f t="shared" si="8"/>
        <v>20130</v>
      </c>
      <c r="U196" s="92">
        <f t="shared" si="9"/>
        <v>18299.999999999996</v>
      </c>
      <c r="V196" s="92">
        <f t="shared" si="10"/>
        <v>731999999.99999988</v>
      </c>
      <c r="W196" s="92">
        <f t="shared" si="11"/>
        <v>73199999.999999985</v>
      </c>
      <c r="Y196" s="115"/>
    </row>
    <row r="197" spans="1:25" s="94" customFormat="1" ht="30" customHeight="1">
      <c r="A197" s="85">
        <v>187</v>
      </c>
      <c r="B197" s="86" t="s">
        <v>422</v>
      </c>
      <c r="C197" s="127" t="s">
        <v>43</v>
      </c>
      <c r="D197" s="127" t="s">
        <v>51</v>
      </c>
      <c r="E197" s="127" t="s">
        <v>55</v>
      </c>
      <c r="F197" s="117" t="s">
        <v>1046</v>
      </c>
      <c r="G197" s="88">
        <v>46216</v>
      </c>
      <c r="H197" s="87" t="s">
        <v>1170</v>
      </c>
      <c r="I197" s="88" t="s">
        <v>1171</v>
      </c>
      <c r="J197" s="89" t="s">
        <v>2579</v>
      </c>
      <c r="K197" s="89" t="s">
        <v>1172</v>
      </c>
      <c r="L197" s="89" t="s">
        <v>1027</v>
      </c>
      <c r="M197" s="118"/>
      <c r="N197" s="90">
        <v>10000</v>
      </c>
      <c r="O197" s="91">
        <v>46211</v>
      </c>
      <c r="P197" s="90" t="s">
        <v>964</v>
      </c>
      <c r="Q197" s="90">
        <v>80</v>
      </c>
      <c r="R197" s="90">
        <v>25430</v>
      </c>
      <c r="S197" s="130">
        <v>4900</v>
      </c>
      <c r="T197" s="90">
        <f t="shared" si="8"/>
        <v>20530</v>
      </c>
      <c r="U197" s="92">
        <f t="shared" si="9"/>
        <v>18663.63636363636</v>
      </c>
      <c r="V197" s="92">
        <f t="shared" si="10"/>
        <v>186636363.6363636</v>
      </c>
      <c r="W197" s="92">
        <f t="shared" si="11"/>
        <v>18663636.36363636</v>
      </c>
      <c r="Y197" s="115"/>
    </row>
    <row r="198" spans="1:25" s="94" customFormat="1" ht="30" customHeight="1">
      <c r="A198" s="85">
        <v>188</v>
      </c>
      <c r="B198" s="86" t="s">
        <v>50</v>
      </c>
      <c r="C198" s="127" t="s">
        <v>43</v>
      </c>
      <c r="D198" s="127" t="s">
        <v>51</v>
      </c>
      <c r="E198" s="127" t="s">
        <v>55</v>
      </c>
      <c r="F198" s="117" t="s">
        <v>49</v>
      </c>
      <c r="G198" s="88">
        <v>46216</v>
      </c>
      <c r="H198" s="87" t="s">
        <v>1173</v>
      </c>
      <c r="I198" s="88" t="s">
        <v>1174</v>
      </c>
      <c r="J198" s="89" t="s">
        <v>2571</v>
      </c>
      <c r="K198" s="89" t="s">
        <v>1175</v>
      </c>
      <c r="L198" s="89" t="s">
        <v>1027</v>
      </c>
      <c r="M198" s="118" t="s">
        <v>1176</v>
      </c>
      <c r="N198" s="90">
        <v>40000</v>
      </c>
      <c r="O198" s="91">
        <v>46211</v>
      </c>
      <c r="P198" s="90" t="s">
        <v>964</v>
      </c>
      <c r="Q198" s="90">
        <v>80</v>
      </c>
      <c r="R198" s="90">
        <v>25430</v>
      </c>
      <c r="S198" s="130">
        <v>5300</v>
      </c>
      <c r="T198" s="90">
        <f t="shared" si="8"/>
        <v>20130</v>
      </c>
      <c r="U198" s="92">
        <f t="shared" si="9"/>
        <v>18299.999999999996</v>
      </c>
      <c r="V198" s="92">
        <f t="shared" si="10"/>
        <v>731999999.99999988</v>
      </c>
      <c r="W198" s="92">
        <f t="shared" si="11"/>
        <v>73199999.999999985</v>
      </c>
      <c r="Y198" s="115"/>
    </row>
    <row r="199" spans="1:25" s="94" customFormat="1" ht="30" customHeight="1">
      <c r="A199" s="85">
        <v>189</v>
      </c>
      <c r="B199" s="86" t="s">
        <v>213</v>
      </c>
      <c r="C199" s="127">
        <v>91</v>
      </c>
      <c r="D199" s="127" t="s">
        <v>51</v>
      </c>
      <c r="E199" s="127" t="s">
        <v>55</v>
      </c>
      <c r="F199" s="117" t="s">
        <v>56</v>
      </c>
      <c r="G199" s="88">
        <v>46216</v>
      </c>
      <c r="H199" s="87" t="s">
        <v>1185</v>
      </c>
      <c r="I199" s="88" t="s">
        <v>1187</v>
      </c>
      <c r="J199" s="89" t="s">
        <v>2576</v>
      </c>
      <c r="K199" s="89" t="s">
        <v>1189</v>
      </c>
      <c r="L199" s="89" t="s">
        <v>1027</v>
      </c>
      <c r="M199" s="118" t="s">
        <v>1190</v>
      </c>
      <c r="N199" s="90">
        <v>47000</v>
      </c>
      <c r="O199" s="91">
        <v>46211</v>
      </c>
      <c r="P199" s="90" t="s">
        <v>964</v>
      </c>
      <c r="Q199" s="90">
        <v>80</v>
      </c>
      <c r="R199" s="90">
        <v>29500</v>
      </c>
      <c r="S199" s="130">
        <v>4200</v>
      </c>
      <c r="T199" s="90">
        <f t="shared" si="8"/>
        <v>25300</v>
      </c>
      <c r="U199" s="92">
        <f t="shared" si="9"/>
        <v>22999.999999999996</v>
      </c>
      <c r="V199" s="92">
        <f t="shared" si="10"/>
        <v>1080999999.9999998</v>
      </c>
      <c r="W199" s="92">
        <f t="shared" si="11"/>
        <v>108099999.99999999</v>
      </c>
      <c r="Y199" s="115"/>
    </row>
    <row r="200" spans="1:25" s="94" customFormat="1" ht="30" customHeight="1">
      <c r="A200" s="85">
        <v>190</v>
      </c>
      <c r="B200" s="86" t="s">
        <v>213</v>
      </c>
      <c r="C200" s="127">
        <v>91</v>
      </c>
      <c r="D200" s="127" t="s">
        <v>51</v>
      </c>
      <c r="E200" s="127" t="s">
        <v>55</v>
      </c>
      <c r="F200" s="117" t="s">
        <v>56</v>
      </c>
      <c r="G200" s="88">
        <v>46216</v>
      </c>
      <c r="H200" s="87" t="s">
        <v>1186</v>
      </c>
      <c r="I200" s="88" t="s">
        <v>1188</v>
      </c>
      <c r="J200" s="89" t="s">
        <v>2577</v>
      </c>
      <c r="K200" s="89" t="s">
        <v>1189</v>
      </c>
      <c r="L200" s="89" t="s">
        <v>1027</v>
      </c>
      <c r="M200" s="118" t="s">
        <v>1190</v>
      </c>
      <c r="N200" s="90">
        <v>47000</v>
      </c>
      <c r="O200" s="91">
        <v>46211</v>
      </c>
      <c r="P200" s="90" t="s">
        <v>964</v>
      </c>
      <c r="Q200" s="90">
        <v>80</v>
      </c>
      <c r="R200" s="90">
        <v>29500</v>
      </c>
      <c r="S200" s="130">
        <v>4200</v>
      </c>
      <c r="T200" s="90">
        <f t="shared" si="8"/>
        <v>25300</v>
      </c>
      <c r="U200" s="92">
        <f t="shared" si="9"/>
        <v>22999.999999999996</v>
      </c>
      <c r="V200" s="92">
        <f t="shared" si="10"/>
        <v>1080999999.9999998</v>
      </c>
      <c r="W200" s="92">
        <f t="shared" si="11"/>
        <v>108099999.99999999</v>
      </c>
      <c r="Y200" s="115"/>
    </row>
    <row r="201" spans="1:25" s="94" customFormat="1" ht="30" customHeight="1">
      <c r="A201" s="85">
        <v>191</v>
      </c>
      <c r="B201" s="86" t="s">
        <v>50</v>
      </c>
      <c r="C201" s="127" t="s">
        <v>43</v>
      </c>
      <c r="D201" s="127" t="s">
        <v>51</v>
      </c>
      <c r="E201" s="127" t="s">
        <v>53</v>
      </c>
      <c r="F201" s="117" t="s">
        <v>49</v>
      </c>
      <c r="G201" s="88">
        <v>46216</v>
      </c>
      <c r="H201" s="87" t="s">
        <v>1199</v>
      </c>
      <c r="I201" s="88" t="s">
        <v>1200</v>
      </c>
      <c r="J201" s="89" t="s">
        <v>2297</v>
      </c>
      <c r="K201" s="89" t="s">
        <v>1201</v>
      </c>
      <c r="L201" s="89" t="s">
        <v>1028</v>
      </c>
      <c r="M201" s="118" t="s">
        <v>1202</v>
      </c>
      <c r="N201" s="90">
        <v>2000</v>
      </c>
      <c r="O201" s="91">
        <v>46211</v>
      </c>
      <c r="P201" s="90" t="s">
        <v>964</v>
      </c>
      <c r="Q201" s="90">
        <v>80</v>
      </c>
      <c r="R201" s="90">
        <v>25430</v>
      </c>
      <c r="S201" s="130">
        <v>5200</v>
      </c>
      <c r="T201" s="90">
        <f t="shared" si="8"/>
        <v>20230</v>
      </c>
      <c r="U201" s="92">
        <f t="shared" si="9"/>
        <v>18390.909090909088</v>
      </c>
      <c r="V201" s="92">
        <f t="shared" si="10"/>
        <v>36781818.18181818</v>
      </c>
      <c r="W201" s="92">
        <f t="shared" si="11"/>
        <v>3678181.8181818184</v>
      </c>
      <c r="Y201" s="115"/>
    </row>
    <row r="202" spans="1:25" s="94" customFormat="1" ht="30" customHeight="1">
      <c r="A202" s="85">
        <v>192</v>
      </c>
      <c r="B202" s="86" t="s">
        <v>422</v>
      </c>
      <c r="C202" s="127" t="s">
        <v>43</v>
      </c>
      <c r="D202" s="127" t="s">
        <v>51</v>
      </c>
      <c r="E202" s="127" t="s">
        <v>55</v>
      </c>
      <c r="F202" s="117" t="s">
        <v>1046</v>
      </c>
      <c r="G202" s="88">
        <v>46216</v>
      </c>
      <c r="H202" s="87" t="s">
        <v>1207</v>
      </c>
      <c r="I202" s="88" t="s">
        <v>1208</v>
      </c>
      <c r="J202" s="89" t="s">
        <v>2572</v>
      </c>
      <c r="K202" s="89" t="s">
        <v>1209</v>
      </c>
      <c r="L202" s="89" t="s">
        <v>1028</v>
      </c>
      <c r="M202" s="118"/>
      <c r="N202" s="90">
        <v>40000</v>
      </c>
      <c r="O202" s="91">
        <v>46211</v>
      </c>
      <c r="P202" s="90" t="s">
        <v>964</v>
      </c>
      <c r="Q202" s="90">
        <v>80</v>
      </c>
      <c r="R202" s="90">
        <v>25690</v>
      </c>
      <c r="S202" s="130">
        <v>4900</v>
      </c>
      <c r="T202" s="90">
        <f t="shared" si="8"/>
        <v>20790</v>
      </c>
      <c r="U202" s="92">
        <f t="shared" si="9"/>
        <v>18899.999999999996</v>
      </c>
      <c r="V202" s="92">
        <f t="shared" si="10"/>
        <v>755999999.99999988</v>
      </c>
      <c r="W202" s="92">
        <f t="shared" si="11"/>
        <v>75599999.999999985</v>
      </c>
      <c r="Y202" s="115"/>
    </row>
    <row r="203" spans="1:25" s="94" customFormat="1" ht="30" customHeight="1">
      <c r="A203" s="85">
        <v>193</v>
      </c>
      <c r="B203" s="86" t="s">
        <v>50</v>
      </c>
      <c r="C203" s="127" t="s">
        <v>43</v>
      </c>
      <c r="D203" s="127" t="s">
        <v>51</v>
      </c>
      <c r="E203" s="127" t="s">
        <v>52</v>
      </c>
      <c r="F203" s="117" t="s">
        <v>49</v>
      </c>
      <c r="G203" s="88">
        <v>46216</v>
      </c>
      <c r="H203" s="87" t="s">
        <v>1210</v>
      </c>
      <c r="I203" s="88" t="s">
        <v>1211</v>
      </c>
      <c r="J203" s="89" t="s">
        <v>1212</v>
      </c>
      <c r="K203" s="89" t="s">
        <v>1213</v>
      </c>
      <c r="L203" s="89" t="s">
        <v>1028</v>
      </c>
      <c r="M203" s="118" t="s">
        <v>1214</v>
      </c>
      <c r="N203" s="90">
        <v>60000</v>
      </c>
      <c r="O203" s="91">
        <v>46211</v>
      </c>
      <c r="P203" s="90" t="s">
        <v>964</v>
      </c>
      <c r="Q203" s="90">
        <v>80</v>
      </c>
      <c r="R203" s="90">
        <v>25400</v>
      </c>
      <c r="S203" s="130">
        <v>5200</v>
      </c>
      <c r="T203" s="90">
        <f t="shared" ref="T203:T266" si="12">+R203-S203</f>
        <v>20200</v>
      </c>
      <c r="U203" s="92">
        <f t="shared" ref="U203:U266" si="13">+T203*0.909090909090909</f>
        <v>18363.63636363636</v>
      </c>
      <c r="V203" s="92">
        <f t="shared" ref="V203:V266" si="14">+N203*T203*0.909090909090909</f>
        <v>1101818181.8181818</v>
      </c>
      <c r="W203" s="92">
        <f t="shared" ref="W203:W266" si="15">+V203*10%</f>
        <v>110181818.18181819</v>
      </c>
      <c r="Y203" s="115"/>
    </row>
    <row r="204" spans="1:25" s="94" customFormat="1" ht="30" customHeight="1">
      <c r="A204" s="85">
        <v>194</v>
      </c>
      <c r="B204" s="86" t="s">
        <v>1896</v>
      </c>
      <c r="C204" s="127" t="s">
        <v>43</v>
      </c>
      <c r="D204" s="127" t="s">
        <v>51</v>
      </c>
      <c r="E204" s="127" t="s">
        <v>55</v>
      </c>
      <c r="F204" s="117" t="s">
        <v>376</v>
      </c>
      <c r="G204" s="88">
        <v>46216</v>
      </c>
      <c r="H204" s="87" t="s">
        <v>1215</v>
      </c>
      <c r="I204" s="88" t="s">
        <v>1217</v>
      </c>
      <c r="J204" s="89" t="s">
        <v>2574</v>
      </c>
      <c r="K204" s="89" t="s">
        <v>1219</v>
      </c>
      <c r="L204" s="89" t="s">
        <v>1028</v>
      </c>
      <c r="M204" s="118"/>
      <c r="N204" s="90">
        <v>40000</v>
      </c>
      <c r="O204" s="91">
        <v>46211</v>
      </c>
      <c r="P204" s="90" t="s">
        <v>964</v>
      </c>
      <c r="Q204" s="90">
        <v>80</v>
      </c>
      <c r="R204" s="90">
        <v>25460</v>
      </c>
      <c r="S204" s="130">
        <v>4900</v>
      </c>
      <c r="T204" s="90">
        <f t="shared" si="12"/>
        <v>20560</v>
      </c>
      <c r="U204" s="92">
        <f t="shared" si="13"/>
        <v>18690.909090909088</v>
      </c>
      <c r="V204" s="92">
        <f t="shared" si="14"/>
        <v>747636363.63636351</v>
      </c>
      <c r="W204" s="92">
        <f t="shared" si="15"/>
        <v>74763636.36363636</v>
      </c>
      <c r="Y204" s="115"/>
    </row>
    <row r="205" spans="1:25" s="94" customFormat="1" ht="30" customHeight="1">
      <c r="A205" s="85">
        <v>195</v>
      </c>
      <c r="B205" s="86" t="s">
        <v>1896</v>
      </c>
      <c r="C205" s="127" t="s">
        <v>43</v>
      </c>
      <c r="D205" s="127" t="s">
        <v>51</v>
      </c>
      <c r="E205" s="127" t="s">
        <v>55</v>
      </c>
      <c r="F205" s="117" t="s">
        <v>376</v>
      </c>
      <c r="G205" s="88">
        <v>46216</v>
      </c>
      <c r="H205" s="87" t="s">
        <v>1216</v>
      </c>
      <c r="I205" s="88" t="s">
        <v>1218</v>
      </c>
      <c r="J205" s="89" t="s">
        <v>2573</v>
      </c>
      <c r="K205" s="89" t="s">
        <v>1219</v>
      </c>
      <c r="L205" s="89" t="s">
        <v>1028</v>
      </c>
      <c r="M205" s="118"/>
      <c r="N205" s="90">
        <v>40000</v>
      </c>
      <c r="O205" s="91">
        <v>46211</v>
      </c>
      <c r="P205" s="90" t="s">
        <v>964</v>
      </c>
      <c r="Q205" s="90">
        <v>80</v>
      </c>
      <c r="R205" s="90">
        <v>25460</v>
      </c>
      <c r="S205" s="130">
        <v>4900</v>
      </c>
      <c r="T205" s="90">
        <f t="shared" si="12"/>
        <v>20560</v>
      </c>
      <c r="U205" s="92">
        <f t="shared" si="13"/>
        <v>18690.909090909088</v>
      </c>
      <c r="V205" s="92">
        <f t="shared" si="14"/>
        <v>747636363.63636351</v>
      </c>
      <c r="W205" s="92">
        <f t="shared" si="15"/>
        <v>74763636.36363636</v>
      </c>
      <c r="Y205" s="115"/>
    </row>
    <row r="206" spans="1:25" s="94" customFormat="1" ht="30" customHeight="1">
      <c r="A206" s="85">
        <v>196</v>
      </c>
      <c r="B206" s="86" t="s">
        <v>50</v>
      </c>
      <c r="C206" s="127" t="s">
        <v>43</v>
      </c>
      <c r="D206" s="127" t="s">
        <v>51</v>
      </c>
      <c r="E206" s="127" t="s">
        <v>55</v>
      </c>
      <c r="F206" s="117" t="s">
        <v>49</v>
      </c>
      <c r="G206" s="88">
        <v>46216</v>
      </c>
      <c r="H206" s="87" t="s">
        <v>1220</v>
      </c>
      <c r="I206" s="88" t="s">
        <v>1221</v>
      </c>
      <c r="J206" s="89" t="s">
        <v>2575</v>
      </c>
      <c r="K206" s="89" t="s">
        <v>1222</v>
      </c>
      <c r="L206" s="89" t="s">
        <v>1028</v>
      </c>
      <c r="M206" s="118" t="s">
        <v>1223</v>
      </c>
      <c r="N206" s="90">
        <v>20000</v>
      </c>
      <c r="O206" s="91">
        <v>46211</v>
      </c>
      <c r="P206" s="90" t="s">
        <v>964</v>
      </c>
      <c r="Q206" s="90">
        <v>80</v>
      </c>
      <c r="R206" s="90">
        <v>25430</v>
      </c>
      <c r="S206" s="130">
        <v>5300</v>
      </c>
      <c r="T206" s="90">
        <f t="shared" si="12"/>
        <v>20130</v>
      </c>
      <c r="U206" s="92">
        <f t="shared" si="13"/>
        <v>18299.999999999996</v>
      </c>
      <c r="V206" s="92">
        <f t="shared" si="14"/>
        <v>365999999.99999994</v>
      </c>
      <c r="W206" s="92">
        <f t="shared" si="15"/>
        <v>36599999.999999993</v>
      </c>
      <c r="Y206" s="115"/>
    </row>
    <row r="207" spans="1:25" s="94" customFormat="1" ht="30" customHeight="1">
      <c r="A207" s="85">
        <v>197</v>
      </c>
      <c r="B207" s="86" t="s">
        <v>422</v>
      </c>
      <c r="C207" s="127" t="s">
        <v>43</v>
      </c>
      <c r="D207" s="127" t="s">
        <v>51</v>
      </c>
      <c r="E207" s="127" t="s">
        <v>55</v>
      </c>
      <c r="F207" s="117" t="s">
        <v>1046</v>
      </c>
      <c r="G207" s="88">
        <v>46217</v>
      </c>
      <c r="H207" s="87" t="s">
        <v>1224</v>
      </c>
      <c r="I207" s="88" t="s">
        <v>1225</v>
      </c>
      <c r="J207" s="89" t="s">
        <v>2578</v>
      </c>
      <c r="K207" s="89" t="s">
        <v>1226</v>
      </c>
      <c r="L207" s="89" t="s">
        <v>1228</v>
      </c>
      <c r="M207" s="118"/>
      <c r="N207" s="90">
        <v>15000</v>
      </c>
      <c r="O207" s="91">
        <v>46211</v>
      </c>
      <c r="P207" s="90" t="s">
        <v>964</v>
      </c>
      <c r="Q207" s="90">
        <v>80</v>
      </c>
      <c r="R207" s="90">
        <v>25430</v>
      </c>
      <c r="S207" s="130">
        <v>4900</v>
      </c>
      <c r="T207" s="90">
        <f t="shared" si="12"/>
        <v>20530</v>
      </c>
      <c r="U207" s="92">
        <f t="shared" si="13"/>
        <v>18663.63636363636</v>
      </c>
      <c r="V207" s="92">
        <f t="shared" si="14"/>
        <v>279954545.45454544</v>
      </c>
      <c r="W207" s="92">
        <f t="shared" si="15"/>
        <v>27995454.545454547</v>
      </c>
      <c r="Y207" s="115"/>
    </row>
    <row r="208" spans="1:25" s="94" customFormat="1" ht="30" customHeight="1">
      <c r="A208" s="85">
        <v>198</v>
      </c>
      <c r="B208" s="86" t="s">
        <v>50</v>
      </c>
      <c r="C208" s="127" t="s">
        <v>43</v>
      </c>
      <c r="D208" s="127" t="s">
        <v>51</v>
      </c>
      <c r="E208" s="127" t="s">
        <v>52</v>
      </c>
      <c r="F208" s="117" t="s">
        <v>49</v>
      </c>
      <c r="G208" s="88">
        <v>46217</v>
      </c>
      <c r="H208" s="87" t="s">
        <v>1229</v>
      </c>
      <c r="I208" s="88" t="s">
        <v>1232</v>
      </c>
      <c r="J208" s="89" t="s">
        <v>1231</v>
      </c>
      <c r="K208" s="89" t="s">
        <v>1230</v>
      </c>
      <c r="L208" s="89" t="s">
        <v>1228</v>
      </c>
      <c r="M208" s="118" t="s">
        <v>1235</v>
      </c>
      <c r="N208" s="90">
        <v>8000</v>
      </c>
      <c r="O208" s="91">
        <v>46211</v>
      </c>
      <c r="P208" s="90" t="s">
        <v>964</v>
      </c>
      <c r="Q208" s="90">
        <v>80</v>
      </c>
      <c r="R208" s="90">
        <v>25400</v>
      </c>
      <c r="S208" s="130">
        <v>5300</v>
      </c>
      <c r="T208" s="90">
        <f t="shared" si="12"/>
        <v>20100</v>
      </c>
      <c r="U208" s="92">
        <f t="shared" si="13"/>
        <v>18272.727272727268</v>
      </c>
      <c r="V208" s="92">
        <f t="shared" si="14"/>
        <v>146181818.18181816</v>
      </c>
      <c r="W208" s="92">
        <f t="shared" si="15"/>
        <v>14618181.818181816</v>
      </c>
      <c r="Y208" s="115"/>
    </row>
    <row r="209" spans="1:25" s="94" customFormat="1" ht="30" customHeight="1">
      <c r="A209" s="85">
        <v>199</v>
      </c>
      <c r="B209" s="86" t="s">
        <v>50</v>
      </c>
      <c r="C209" s="127" t="s">
        <v>43</v>
      </c>
      <c r="D209" s="127" t="s">
        <v>51</v>
      </c>
      <c r="E209" s="127" t="s">
        <v>52</v>
      </c>
      <c r="F209" s="117" t="s">
        <v>49</v>
      </c>
      <c r="G209" s="88">
        <v>46217</v>
      </c>
      <c r="H209" s="87" t="s">
        <v>1236</v>
      </c>
      <c r="I209" s="88" t="s">
        <v>1233</v>
      </c>
      <c r="J209" s="89" t="s">
        <v>1237</v>
      </c>
      <c r="K209" s="89" t="s">
        <v>1238</v>
      </c>
      <c r="L209" s="89" t="s">
        <v>1228</v>
      </c>
      <c r="M209" s="118" t="s">
        <v>1239</v>
      </c>
      <c r="N209" s="90">
        <v>32000</v>
      </c>
      <c r="O209" s="91">
        <v>46211</v>
      </c>
      <c r="P209" s="90" t="s">
        <v>964</v>
      </c>
      <c r="Q209" s="90">
        <v>80</v>
      </c>
      <c r="R209" s="90">
        <v>25460</v>
      </c>
      <c r="S209" s="130">
        <v>5200</v>
      </c>
      <c r="T209" s="90">
        <f t="shared" si="12"/>
        <v>20260</v>
      </c>
      <c r="U209" s="92">
        <f t="shared" si="13"/>
        <v>18418.181818181816</v>
      </c>
      <c r="V209" s="92">
        <f t="shared" si="14"/>
        <v>589381818.18181813</v>
      </c>
      <c r="W209" s="92">
        <f t="shared" si="15"/>
        <v>58938181.818181813</v>
      </c>
      <c r="Y209" s="115"/>
    </row>
    <row r="210" spans="1:25" s="94" customFormat="1" ht="30" customHeight="1">
      <c r="A210" s="85">
        <v>200</v>
      </c>
      <c r="B210" s="86" t="s">
        <v>50</v>
      </c>
      <c r="C210" s="127" t="s">
        <v>43</v>
      </c>
      <c r="D210" s="127" t="s">
        <v>51</v>
      </c>
      <c r="E210" s="127" t="s">
        <v>52</v>
      </c>
      <c r="F210" s="117" t="s">
        <v>49</v>
      </c>
      <c r="G210" s="88">
        <v>46217</v>
      </c>
      <c r="H210" s="87" t="s">
        <v>1240</v>
      </c>
      <c r="I210" s="88" t="s">
        <v>1234</v>
      </c>
      <c r="J210" s="89" t="s">
        <v>1241</v>
      </c>
      <c r="K210" s="89" t="s">
        <v>1242</v>
      </c>
      <c r="L210" s="89" t="s">
        <v>1228</v>
      </c>
      <c r="M210" s="118" t="s">
        <v>1243</v>
      </c>
      <c r="N210" s="90">
        <v>40000</v>
      </c>
      <c r="O210" s="91">
        <v>46211</v>
      </c>
      <c r="P210" s="90" t="s">
        <v>964</v>
      </c>
      <c r="Q210" s="90">
        <v>80</v>
      </c>
      <c r="R210" s="90">
        <v>25400</v>
      </c>
      <c r="S210" s="130">
        <v>5300</v>
      </c>
      <c r="T210" s="90">
        <f t="shared" si="12"/>
        <v>20100</v>
      </c>
      <c r="U210" s="92">
        <f t="shared" si="13"/>
        <v>18272.727272727268</v>
      </c>
      <c r="V210" s="92">
        <f t="shared" si="14"/>
        <v>730909090.90909076</v>
      </c>
      <c r="W210" s="92">
        <f t="shared" si="15"/>
        <v>73090909.090909079</v>
      </c>
      <c r="Y210" s="115"/>
    </row>
    <row r="211" spans="1:25" s="94" customFormat="1" ht="30" customHeight="1">
      <c r="A211" s="85">
        <v>201</v>
      </c>
      <c r="B211" s="86" t="s">
        <v>50</v>
      </c>
      <c r="C211" s="127" t="s">
        <v>43</v>
      </c>
      <c r="D211" s="127" t="s">
        <v>51</v>
      </c>
      <c r="E211" s="127" t="s">
        <v>55</v>
      </c>
      <c r="F211" s="117" t="s">
        <v>49</v>
      </c>
      <c r="G211" s="88">
        <v>46217</v>
      </c>
      <c r="H211" s="87" t="s">
        <v>1252</v>
      </c>
      <c r="I211" s="88" t="s">
        <v>1253</v>
      </c>
      <c r="J211" s="89" t="s">
        <v>2583</v>
      </c>
      <c r="K211" s="89" t="s">
        <v>1254</v>
      </c>
      <c r="L211" s="89" t="s">
        <v>1228</v>
      </c>
      <c r="M211" s="118" t="s">
        <v>1255</v>
      </c>
      <c r="N211" s="90">
        <v>20000</v>
      </c>
      <c r="O211" s="91">
        <v>46211</v>
      </c>
      <c r="P211" s="90" t="s">
        <v>964</v>
      </c>
      <c r="Q211" s="90">
        <v>80</v>
      </c>
      <c r="R211" s="90">
        <v>25430</v>
      </c>
      <c r="S211" s="130">
        <v>5300</v>
      </c>
      <c r="T211" s="90">
        <f t="shared" si="12"/>
        <v>20130</v>
      </c>
      <c r="U211" s="92">
        <f t="shared" si="13"/>
        <v>18299.999999999996</v>
      </c>
      <c r="V211" s="92">
        <f t="shared" si="14"/>
        <v>365999999.99999994</v>
      </c>
      <c r="W211" s="92">
        <f t="shared" si="15"/>
        <v>36599999.999999993</v>
      </c>
      <c r="Y211" s="115"/>
    </row>
    <row r="212" spans="1:25" s="94" customFormat="1" ht="30" customHeight="1">
      <c r="A212" s="85">
        <v>202</v>
      </c>
      <c r="B212" s="86" t="s">
        <v>50</v>
      </c>
      <c r="C212" s="127" t="s">
        <v>43</v>
      </c>
      <c r="D212" s="127" t="s">
        <v>51</v>
      </c>
      <c r="E212" s="127" t="s">
        <v>55</v>
      </c>
      <c r="F212" s="117" t="s">
        <v>49</v>
      </c>
      <c r="G212" s="88">
        <v>46217</v>
      </c>
      <c r="H212" s="87" t="s">
        <v>1256</v>
      </c>
      <c r="I212" s="88" t="s">
        <v>1257</v>
      </c>
      <c r="J212" s="89" t="s">
        <v>2582</v>
      </c>
      <c r="K212" s="89" t="s">
        <v>1265</v>
      </c>
      <c r="L212" s="89" t="s">
        <v>1228</v>
      </c>
      <c r="M212" s="118" t="s">
        <v>1266</v>
      </c>
      <c r="N212" s="90">
        <v>40000</v>
      </c>
      <c r="O212" s="91">
        <v>46211</v>
      </c>
      <c r="P212" s="90" t="s">
        <v>964</v>
      </c>
      <c r="Q212" s="90">
        <v>80</v>
      </c>
      <c r="R212" s="90">
        <v>25460</v>
      </c>
      <c r="S212" s="130">
        <v>5300</v>
      </c>
      <c r="T212" s="90">
        <f t="shared" si="12"/>
        <v>20160</v>
      </c>
      <c r="U212" s="92">
        <f t="shared" si="13"/>
        <v>18327.272727272724</v>
      </c>
      <c r="V212" s="92">
        <f t="shared" si="14"/>
        <v>733090909.090909</v>
      </c>
      <c r="W212" s="92">
        <f t="shared" si="15"/>
        <v>73309090.909090906</v>
      </c>
      <c r="Y212" s="115"/>
    </row>
    <row r="213" spans="1:25" s="94" customFormat="1" ht="30" customHeight="1">
      <c r="A213" s="85">
        <v>203</v>
      </c>
      <c r="B213" s="86" t="s">
        <v>50</v>
      </c>
      <c r="C213" s="127" t="s">
        <v>43</v>
      </c>
      <c r="D213" s="127" t="s">
        <v>51</v>
      </c>
      <c r="E213" s="127" t="s">
        <v>55</v>
      </c>
      <c r="F213" s="117" t="s">
        <v>49</v>
      </c>
      <c r="G213" s="88">
        <v>46217</v>
      </c>
      <c r="H213" s="87" t="s">
        <v>1267</v>
      </c>
      <c r="I213" s="88" t="s">
        <v>1258</v>
      </c>
      <c r="J213" s="89" t="s">
        <v>2581</v>
      </c>
      <c r="K213" s="89" t="s">
        <v>1268</v>
      </c>
      <c r="L213" s="89" t="s">
        <v>1228</v>
      </c>
      <c r="M213" s="118" t="s">
        <v>1269</v>
      </c>
      <c r="N213" s="90">
        <v>40000</v>
      </c>
      <c r="O213" s="91">
        <v>46211</v>
      </c>
      <c r="P213" s="90" t="s">
        <v>964</v>
      </c>
      <c r="Q213" s="90">
        <v>80</v>
      </c>
      <c r="R213" s="90">
        <v>25460</v>
      </c>
      <c r="S213" s="130">
        <v>5300</v>
      </c>
      <c r="T213" s="90">
        <f t="shared" si="12"/>
        <v>20160</v>
      </c>
      <c r="U213" s="92">
        <f t="shared" si="13"/>
        <v>18327.272727272724</v>
      </c>
      <c r="V213" s="92">
        <f t="shared" si="14"/>
        <v>733090909.090909</v>
      </c>
      <c r="W213" s="92">
        <f t="shared" si="15"/>
        <v>73309090.909090906</v>
      </c>
      <c r="Y213" s="115"/>
    </row>
    <row r="214" spans="1:25" s="94" customFormat="1" ht="30" customHeight="1">
      <c r="A214" s="85">
        <v>204</v>
      </c>
      <c r="B214" s="86" t="s">
        <v>50</v>
      </c>
      <c r="C214" s="127" t="s">
        <v>43</v>
      </c>
      <c r="D214" s="127" t="s">
        <v>51</v>
      </c>
      <c r="E214" s="127" t="s">
        <v>55</v>
      </c>
      <c r="F214" s="117" t="s">
        <v>49</v>
      </c>
      <c r="G214" s="88">
        <v>46217</v>
      </c>
      <c r="H214" s="87" t="s">
        <v>1270</v>
      </c>
      <c r="I214" s="88" t="s">
        <v>1259</v>
      </c>
      <c r="J214" s="89" t="s">
        <v>2580</v>
      </c>
      <c r="K214" s="89" t="s">
        <v>1271</v>
      </c>
      <c r="L214" s="89" t="s">
        <v>1227</v>
      </c>
      <c r="M214" s="118" t="s">
        <v>1272</v>
      </c>
      <c r="N214" s="90">
        <v>40000</v>
      </c>
      <c r="O214" s="91">
        <v>46211</v>
      </c>
      <c r="P214" s="90" t="s">
        <v>964</v>
      </c>
      <c r="Q214" s="90">
        <v>80</v>
      </c>
      <c r="R214" s="90">
        <v>25460</v>
      </c>
      <c r="S214" s="130">
        <v>5300</v>
      </c>
      <c r="T214" s="90">
        <f t="shared" si="12"/>
        <v>20160</v>
      </c>
      <c r="U214" s="92">
        <f t="shared" si="13"/>
        <v>18327.272727272724</v>
      </c>
      <c r="V214" s="92">
        <f t="shared" si="14"/>
        <v>733090909.090909</v>
      </c>
      <c r="W214" s="92">
        <f t="shared" si="15"/>
        <v>73309090.909090906</v>
      </c>
      <c r="Y214" s="115"/>
    </row>
    <row r="215" spans="1:25" s="94" customFormat="1" ht="30" customHeight="1">
      <c r="A215" s="85">
        <v>205</v>
      </c>
      <c r="B215" s="86" t="s">
        <v>50</v>
      </c>
      <c r="C215" s="127" t="s">
        <v>43</v>
      </c>
      <c r="D215" s="127" t="s">
        <v>51</v>
      </c>
      <c r="E215" s="127" t="s">
        <v>55</v>
      </c>
      <c r="F215" s="117" t="s">
        <v>49</v>
      </c>
      <c r="G215" s="88">
        <v>46217</v>
      </c>
      <c r="H215" s="87" t="s">
        <v>1273</v>
      </c>
      <c r="I215" s="88" t="s">
        <v>1260</v>
      </c>
      <c r="J215" s="89" t="s">
        <v>2584</v>
      </c>
      <c r="K215" s="89" t="s">
        <v>1274</v>
      </c>
      <c r="L215" s="89" t="s">
        <v>1227</v>
      </c>
      <c r="M215" s="118" t="s">
        <v>1275</v>
      </c>
      <c r="N215" s="90">
        <v>240000</v>
      </c>
      <c r="O215" s="91">
        <v>46211</v>
      </c>
      <c r="P215" s="90" t="s">
        <v>964</v>
      </c>
      <c r="Q215" s="90">
        <v>80</v>
      </c>
      <c r="R215" s="90">
        <v>25610</v>
      </c>
      <c r="S215" s="130">
        <v>4234</v>
      </c>
      <c r="T215" s="90">
        <f t="shared" si="12"/>
        <v>21376</v>
      </c>
      <c r="U215" s="92">
        <f t="shared" si="13"/>
        <v>19432.727272727268</v>
      </c>
      <c r="V215" s="92">
        <f t="shared" si="14"/>
        <v>4663854545.454545</v>
      </c>
      <c r="W215" s="92">
        <f t="shared" si="15"/>
        <v>466385454.5454545</v>
      </c>
      <c r="Y215" s="115"/>
    </row>
    <row r="216" spans="1:25" s="94" customFormat="1" ht="30" customHeight="1">
      <c r="A216" s="85">
        <v>206</v>
      </c>
      <c r="B216" s="86" t="s">
        <v>50</v>
      </c>
      <c r="C216" s="127" t="s">
        <v>43</v>
      </c>
      <c r="D216" s="127" t="s">
        <v>51</v>
      </c>
      <c r="E216" s="127" t="s">
        <v>52</v>
      </c>
      <c r="F216" s="117" t="s">
        <v>49</v>
      </c>
      <c r="G216" s="88">
        <v>46217</v>
      </c>
      <c r="H216" s="87" t="s">
        <v>1276</v>
      </c>
      <c r="I216" s="88" t="s">
        <v>1261</v>
      </c>
      <c r="J216" s="89" t="s">
        <v>1277</v>
      </c>
      <c r="K216" s="89" t="s">
        <v>1278</v>
      </c>
      <c r="L216" s="89" t="s">
        <v>1227</v>
      </c>
      <c r="M216" s="118" t="s">
        <v>1279</v>
      </c>
      <c r="N216" s="90">
        <v>20000</v>
      </c>
      <c r="O216" s="91">
        <v>46211</v>
      </c>
      <c r="P216" s="90" t="s">
        <v>964</v>
      </c>
      <c r="Q216" s="90">
        <v>80</v>
      </c>
      <c r="R216" s="90">
        <v>25770</v>
      </c>
      <c r="S216" s="130">
        <v>5200</v>
      </c>
      <c r="T216" s="90">
        <f t="shared" si="12"/>
        <v>20570</v>
      </c>
      <c r="U216" s="92">
        <f t="shared" si="13"/>
        <v>18699.999999999996</v>
      </c>
      <c r="V216" s="92">
        <f t="shared" si="14"/>
        <v>373999999.99999994</v>
      </c>
      <c r="W216" s="92">
        <f t="shared" si="15"/>
        <v>37399999.999999993</v>
      </c>
      <c r="Y216" s="115"/>
    </row>
    <row r="217" spans="1:25" s="94" customFormat="1" ht="30" customHeight="1">
      <c r="A217" s="85">
        <v>207</v>
      </c>
      <c r="B217" s="86" t="s">
        <v>50</v>
      </c>
      <c r="C217" s="127" t="s">
        <v>43</v>
      </c>
      <c r="D217" s="127" t="s">
        <v>51</v>
      </c>
      <c r="E217" s="127" t="s">
        <v>53</v>
      </c>
      <c r="F217" s="117" t="s">
        <v>49</v>
      </c>
      <c r="G217" s="88">
        <v>46217</v>
      </c>
      <c r="H217" s="87" t="s">
        <v>1280</v>
      </c>
      <c r="I217" s="88" t="s">
        <v>1262</v>
      </c>
      <c r="J217" s="89" t="s">
        <v>2298</v>
      </c>
      <c r="K217" s="89" t="s">
        <v>1281</v>
      </c>
      <c r="L217" s="89" t="s">
        <v>1227</v>
      </c>
      <c r="M217" s="118" t="s">
        <v>1282</v>
      </c>
      <c r="N217" s="90">
        <v>20000</v>
      </c>
      <c r="O217" s="91">
        <v>46211</v>
      </c>
      <c r="P217" s="90" t="s">
        <v>964</v>
      </c>
      <c r="Q217" s="90">
        <v>80</v>
      </c>
      <c r="R217" s="90">
        <v>25430</v>
      </c>
      <c r="S217" s="130">
        <v>5300</v>
      </c>
      <c r="T217" s="90">
        <f t="shared" si="12"/>
        <v>20130</v>
      </c>
      <c r="U217" s="92">
        <f t="shared" si="13"/>
        <v>18299.999999999996</v>
      </c>
      <c r="V217" s="92">
        <f t="shared" si="14"/>
        <v>365999999.99999994</v>
      </c>
      <c r="W217" s="92">
        <f t="shared" si="15"/>
        <v>36599999.999999993</v>
      </c>
      <c r="Y217" s="115"/>
    </row>
    <row r="218" spans="1:25" s="94" customFormat="1" ht="30" customHeight="1">
      <c r="A218" s="85">
        <v>208</v>
      </c>
      <c r="B218" s="86" t="s">
        <v>50</v>
      </c>
      <c r="C218" s="127" t="s">
        <v>43</v>
      </c>
      <c r="D218" s="127" t="s">
        <v>51</v>
      </c>
      <c r="E218" s="127" t="s">
        <v>54</v>
      </c>
      <c r="F218" s="117" t="s">
        <v>49</v>
      </c>
      <c r="G218" s="88">
        <v>46217</v>
      </c>
      <c r="H218" s="87" t="s">
        <v>1283</v>
      </c>
      <c r="I218" s="88" t="s">
        <v>1263</v>
      </c>
      <c r="J218" s="89" t="s">
        <v>2497</v>
      </c>
      <c r="K218" s="89" t="s">
        <v>1284</v>
      </c>
      <c r="L218" s="89" t="s">
        <v>1227</v>
      </c>
      <c r="M218" s="118" t="s">
        <v>1285</v>
      </c>
      <c r="N218" s="90">
        <v>12000</v>
      </c>
      <c r="O218" s="91">
        <v>46211</v>
      </c>
      <c r="P218" s="90" t="s">
        <v>964</v>
      </c>
      <c r="Q218" s="90">
        <v>80</v>
      </c>
      <c r="R218" s="90">
        <v>25670</v>
      </c>
      <c r="S218" s="130">
        <v>5300</v>
      </c>
      <c r="T218" s="90">
        <f t="shared" si="12"/>
        <v>20370</v>
      </c>
      <c r="U218" s="92">
        <f t="shared" si="13"/>
        <v>18518.181818181816</v>
      </c>
      <c r="V218" s="92">
        <f t="shared" si="14"/>
        <v>222218181.81818178</v>
      </c>
      <c r="W218" s="92">
        <f t="shared" si="15"/>
        <v>22221818.18181818</v>
      </c>
      <c r="Y218" s="115"/>
    </row>
    <row r="219" spans="1:25" s="94" customFormat="1" ht="30" customHeight="1">
      <c r="A219" s="85">
        <v>209</v>
      </c>
      <c r="B219" s="86" t="s">
        <v>50</v>
      </c>
      <c r="C219" s="127" t="s">
        <v>43</v>
      </c>
      <c r="D219" s="127" t="s">
        <v>51</v>
      </c>
      <c r="E219" s="127" t="s">
        <v>54</v>
      </c>
      <c r="F219" s="117" t="s">
        <v>49</v>
      </c>
      <c r="G219" s="88">
        <v>46217</v>
      </c>
      <c r="H219" s="87" t="s">
        <v>1286</v>
      </c>
      <c r="I219" s="88" t="s">
        <v>1264</v>
      </c>
      <c r="J219" s="89" t="s">
        <v>2498</v>
      </c>
      <c r="K219" s="89" t="s">
        <v>1287</v>
      </c>
      <c r="L219" s="89" t="s">
        <v>1227</v>
      </c>
      <c r="M219" s="118" t="s">
        <v>1288</v>
      </c>
      <c r="N219" s="90">
        <v>12000</v>
      </c>
      <c r="O219" s="91">
        <v>46211</v>
      </c>
      <c r="P219" s="90" t="s">
        <v>964</v>
      </c>
      <c r="Q219" s="90">
        <v>80</v>
      </c>
      <c r="R219" s="90">
        <v>25990</v>
      </c>
      <c r="S219" s="130">
        <v>5300</v>
      </c>
      <c r="T219" s="90">
        <f t="shared" si="12"/>
        <v>20690</v>
      </c>
      <c r="U219" s="92">
        <f t="shared" si="13"/>
        <v>18809.090909090904</v>
      </c>
      <c r="V219" s="92">
        <f t="shared" si="14"/>
        <v>225709090.90909088</v>
      </c>
      <c r="W219" s="92">
        <f t="shared" si="15"/>
        <v>22570909.09090909</v>
      </c>
      <c r="Y219" s="115"/>
    </row>
    <row r="220" spans="1:25" s="94" customFormat="1" ht="30" customHeight="1">
      <c r="A220" s="85">
        <v>210</v>
      </c>
      <c r="B220" s="86" t="s">
        <v>50</v>
      </c>
      <c r="C220" s="127" t="s">
        <v>43</v>
      </c>
      <c r="D220" s="127" t="s">
        <v>51</v>
      </c>
      <c r="E220" s="127" t="s">
        <v>54</v>
      </c>
      <c r="F220" s="117" t="s">
        <v>49</v>
      </c>
      <c r="G220" s="88">
        <v>46217</v>
      </c>
      <c r="H220" s="87" t="s">
        <v>1289</v>
      </c>
      <c r="I220" s="88" t="s">
        <v>1290</v>
      </c>
      <c r="J220" s="89" t="s">
        <v>2499</v>
      </c>
      <c r="K220" s="89" t="s">
        <v>1294</v>
      </c>
      <c r="L220" s="89" t="s">
        <v>1228</v>
      </c>
      <c r="M220" s="118" t="s">
        <v>1295</v>
      </c>
      <c r="N220" s="90">
        <v>8000</v>
      </c>
      <c r="O220" s="91">
        <v>46211</v>
      </c>
      <c r="P220" s="90" t="s">
        <v>964</v>
      </c>
      <c r="Q220" s="90">
        <v>80</v>
      </c>
      <c r="R220" s="90">
        <v>26570</v>
      </c>
      <c r="S220" s="130">
        <v>5300</v>
      </c>
      <c r="T220" s="90">
        <f t="shared" si="12"/>
        <v>21270</v>
      </c>
      <c r="U220" s="92">
        <f t="shared" si="13"/>
        <v>19336.363636363632</v>
      </c>
      <c r="V220" s="92">
        <f t="shared" si="14"/>
        <v>154690909.09090906</v>
      </c>
      <c r="W220" s="92">
        <f t="shared" si="15"/>
        <v>15469090.909090906</v>
      </c>
      <c r="Y220" s="115"/>
    </row>
    <row r="221" spans="1:25" s="94" customFormat="1" ht="30" customHeight="1">
      <c r="A221" s="85">
        <v>211</v>
      </c>
      <c r="B221" s="86" t="s">
        <v>50</v>
      </c>
      <c r="C221" s="127" t="s">
        <v>43</v>
      </c>
      <c r="D221" s="127" t="s">
        <v>51</v>
      </c>
      <c r="E221" s="127" t="s">
        <v>53</v>
      </c>
      <c r="F221" s="117" t="s">
        <v>49</v>
      </c>
      <c r="G221" s="88">
        <v>46217</v>
      </c>
      <c r="H221" s="87" t="s">
        <v>1296</v>
      </c>
      <c r="I221" s="88" t="s">
        <v>1291</v>
      </c>
      <c r="J221" s="89" t="s">
        <v>2300</v>
      </c>
      <c r="K221" s="89" t="s">
        <v>1297</v>
      </c>
      <c r="L221" s="89" t="s">
        <v>1028</v>
      </c>
      <c r="M221" s="118" t="s">
        <v>1298</v>
      </c>
      <c r="N221" s="90">
        <v>300000</v>
      </c>
      <c r="O221" s="91">
        <v>46211</v>
      </c>
      <c r="P221" s="90" t="s">
        <v>964</v>
      </c>
      <c r="Q221" s="90">
        <v>80</v>
      </c>
      <c r="R221" s="90">
        <v>25430</v>
      </c>
      <c r="S221" s="130">
        <v>5300</v>
      </c>
      <c r="T221" s="90">
        <f t="shared" si="12"/>
        <v>20130</v>
      </c>
      <c r="U221" s="92">
        <f t="shared" si="13"/>
        <v>18299.999999999996</v>
      </c>
      <c r="V221" s="92">
        <f t="shared" si="14"/>
        <v>5489999999.999999</v>
      </c>
      <c r="W221" s="92">
        <f t="shared" si="15"/>
        <v>548999999.99999988</v>
      </c>
      <c r="Y221" s="115"/>
    </row>
    <row r="222" spans="1:25" s="94" customFormat="1" ht="30" customHeight="1">
      <c r="A222" s="85">
        <v>212</v>
      </c>
      <c r="B222" s="86" t="s">
        <v>50</v>
      </c>
      <c r="C222" s="127" t="s">
        <v>43</v>
      </c>
      <c r="D222" s="127" t="s">
        <v>51</v>
      </c>
      <c r="E222" s="127" t="s">
        <v>53</v>
      </c>
      <c r="F222" s="117" t="s">
        <v>49</v>
      </c>
      <c r="G222" s="88">
        <v>46217</v>
      </c>
      <c r="H222" s="87" t="s">
        <v>1299</v>
      </c>
      <c r="I222" s="88" t="s">
        <v>1292</v>
      </c>
      <c r="J222" s="89" t="s">
        <v>2299</v>
      </c>
      <c r="K222" s="89" t="s">
        <v>1300</v>
      </c>
      <c r="L222" s="89" t="s">
        <v>1228</v>
      </c>
      <c r="M222" s="118" t="s">
        <v>1301</v>
      </c>
      <c r="N222" s="90">
        <v>12000</v>
      </c>
      <c r="O222" s="91">
        <v>46211</v>
      </c>
      <c r="P222" s="90" t="s">
        <v>964</v>
      </c>
      <c r="Q222" s="90">
        <v>80</v>
      </c>
      <c r="R222" s="90">
        <v>25430</v>
      </c>
      <c r="S222" s="130">
        <v>5300</v>
      </c>
      <c r="T222" s="90">
        <f t="shared" si="12"/>
        <v>20130</v>
      </c>
      <c r="U222" s="92">
        <f t="shared" si="13"/>
        <v>18299.999999999996</v>
      </c>
      <c r="V222" s="92">
        <f t="shared" si="14"/>
        <v>219599999.99999997</v>
      </c>
      <c r="W222" s="92">
        <f t="shared" si="15"/>
        <v>21960000</v>
      </c>
      <c r="Y222" s="115"/>
    </row>
    <row r="223" spans="1:25" s="94" customFormat="1" ht="30" customHeight="1">
      <c r="A223" s="85">
        <v>213</v>
      </c>
      <c r="B223" s="86" t="s">
        <v>213</v>
      </c>
      <c r="C223" s="127" t="s">
        <v>43</v>
      </c>
      <c r="D223" s="127" t="s">
        <v>51</v>
      </c>
      <c r="E223" s="127" t="s">
        <v>55</v>
      </c>
      <c r="F223" s="117" t="s">
        <v>56</v>
      </c>
      <c r="G223" s="88">
        <v>46217</v>
      </c>
      <c r="H223" s="87" t="s">
        <v>1302</v>
      </c>
      <c r="I223" s="88" t="s">
        <v>1293</v>
      </c>
      <c r="J223" s="89" t="s">
        <v>2585</v>
      </c>
      <c r="K223" s="89" t="s">
        <v>1305</v>
      </c>
      <c r="L223" s="89" t="s">
        <v>1228</v>
      </c>
      <c r="M223" s="118" t="s">
        <v>1306</v>
      </c>
      <c r="N223" s="90">
        <v>42000</v>
      </c>
      <c r="O223" s="91">
        <v>46211</v>
      </c>
      <c r="P223" s="90" t="s">
        <v>964</v>
      </c>
      <c r="Q223" s="90">
        <v>80</v>
      </c>
      <c r="R223" s="90">
        <v>25430</v>
      </c>
      <c r="S223" s="130">
        <v>4900</v>
      </c>
      <c r="T223" s="90">
        <f t="shared" si="12"/>
        <v>20530</v>
      </c>
      <c r="U223" s="92">
        <f t="shared" si="13"/>
        <v>18663.63636363636</v>
      </c>
      <c r="V223" s="92">
        <f t="shared" si="14"/>
        <v>783872727.27272713</v>
      </c>
      <c r="W223" s="92">
        <f t="shared" si="15"/>
        <v>78387272.727272719</v>
      </c>
      <c r="Y223" s="115"/>
    </row>
    <row r="224" spans="1:25" s="94" customFormat="1" ht="30" customHeight="1">
      <c r="A224" s="85">
        <v>214</v>
      </c>
      <c r="B224" s="86" t="s">
        <v>213</v>
      </c>
      <c r="C224" s="127" t="s">
        <v>43</v>
      </c>
      <c r="D224" s="127" t="s">
        <v>51</v>
      </c>
      <c r="E224" s="127" t="s">
        <v>55</v>
      </c>
      <c r="F224" s="117" t="s">
        <v>56</v>
      </c>
      <c r="G224" s="88">
        <v>46217</v>
      </c>
      <c r="H224" s="87" t="s">
        <v>1303</v>
      </c>
      <c r="I224" s="88" t="s">
        <v>1304</v>
      </c>
      <c r="J224" s="89" t="s">
        <v>2586</v>
      </c>
      <c r="K224" s="89" t="s">
        <v>1305</v>
      </c>
      <c r="L224" s="89" t="s">
        <v>1228</v>
      </c>
      <c r="M224" s="118" t="s">
        <v>1306</v>
      </c>
      <c r="N224" s="90">
        <v>42000</v>
      </c>
      <c r="O224" s="91">
        <v>46211</v>
      </c>
      <c r="P224" s="90" t="s">
        <v>964</v>
      </c>
      <c r="Q224" s="90">
        <v>80</v>
      </c>
      <c r="R224" s="90">
        <v>25430</v>
      </c>
      <c r="S224" s="130">
        <v>4900</v>
      </c>
      <c r="T224" s="90">
        <f t="shared" si="12"/>
        <v>20530</v>
      </c>
      <c r="U224" s="92">
        <f t="shared" si="13"/>
        <v>18663.63636363636</v>
      </c>
      <c r="V224" s="92">
        <f t="shared" si="14"/>
        <v>783872727.27272713</v>
      </c>
      <c r="W224" s="92">
        <f t="shared" si="15"/>
        <v>78387272.727272719</v>
      </c>
      <c r="Y224" s="115"/>
    </row>
    <row r="225" spans="1:25" s="94" customFormat="1" ht="30" customHeight="1">
      <c r="A225" s="85">
        <v>215</v>
      </c>
      <c r="B225" s="86" t="s">
        <v>50</v>
      </c>
      <c r="C225" s="127" t="s">
        <v>43</v>
      </c>
      <c r="D225" s="127" t="s">
        <v>51</v>
      </c>
      <c r="E225" s="127" t="s">
        <v>52</v>
      </c>
      <c r="F225" s="117" t="s">
        <v>49</v>
      </c>
      <c r="G225" s="88">
        <v>46217</v>
      </c>
      <c r="H225" s="87" t="s">
        <v>1307</v>
      </c>
      <c r="I225" s="88" t="s">
        <v>1308</v>
      </c>
      <c r="J225" s="89" t="s">
        <v>1309</v>
      </c>
      <c r="K225" s="89" t="s">
        <v>1310</v>
      </c>
      <c r="L225" s="89" t="s">
        <v>1227</v>
      </c>
      <c r="M225" s="118" t="s">
        <v>1311</v>
      </c>
      <c r="N225" s="90">
        <v>3000</v>
      </c>
      <c r="O225" s="91">
        <v>46211</v>
      </c>
      <c r="P225" s="90" t="s">
        <v>964</v>
      </c>
      <c r="Q225" s="90">
        <v>80</v>
      </c>
      <c r="R225" s="90">
        <v>25400</v>
      </c>
      <c r="S225" s="130">
        <v>5300</v>
      </c>
      <c r="T225" s="90">
        <f t="shared" si="12"/>
        <v>20100</v>
      </c>
      <c r="U225" s="92">
        <f t="shared" si="13"/>
        <v>18272.727272727268</v>
      </c>
      <c r="V225" s="92">
        <f t="shared" si="14"/>
        <v>54818181.818181813</v>
      </c>
      <c r="W225" s="92">
        <f t="shared" si="15"/>
        <v>5481818.1818181816</v>
      </c>
      <c r="Y225" s="115"/>
    </row>
    <row r="226" spans="1:25" s="94" customFormat="1" ht="30" customHeight="1">
      <c r="A226" s="85">
        <v>216</v>
      </c>
      <c r="B226" s="86" t="s">
        <v>50</v>
      </c>
      <c r="C226" s="127" t="s">
        <v>43</v>
      </c>
      <c r="D226" s="127" t="s">
        <v>51</v>
      </c>
      <c r="E226" s="127" t="s">
        <v>53</v>
      </c>
      <c r="F226" s="117" t="s">
        <v>49</v>
      </c>
      <c r="G226" s="88">
        <v>46217</v>
      </c>
      <c r="H226" s="87" t="s">
        <v>1312</v>
      </c>
      <c r="I226" s="88" t="s">
        <v>1313</v>
      </c>
      <c r="J226" s="89" t="s">
        <v>2301</v>
      </c>
      <c r="K226" s="89" t="s">
        <v>1322</v>
      </c>
      <c r="L226" s="89" t="s">
        <v>1227</v>
      </c>
      <c r="M226" s="118" t="s">
        <v>1323</v>
      </c>
      <c r="N226" s="90">
        <v>12000</v>
      </c>
      <c r="O226" s="91">
        <v>46211</v>
      </c>
      <c r="P226" s="90" t="s">
        <v>964</v>
      </c>
      <c r="Q226" s="90">
        <v>80</v>
      </c>
      <c r="R226" s="90">
        <v>25430</v>
      </c>
      <c r="S226" s="130">
        <v>5300</v>
      </c>
      <c r="T226" s="90">
        <f t="shared" si="12"/>
        <v>20130</v>
      </c>
      <c r="U226" s="92">
        <f t="shared" si="13"/>
        <v>18299.999999999996</v>
      </c>
      <c r="V226" s="92">
        <f t="shared" si="14"/>
        <v>219599999.99999997</v>
      </c>
      <c r="W226" s="92">
        <f t="shared" si="15"/>
        <v>21960000</v>
      </c>
      <c r="Y226" s="115"/>
    </row>
    <row r="227" spans="1:25" s="94" customFormat="1" ht="30" customHeight="1">
      <c r="A227" s="85">
        <v>217</v>
      </c>
      <c r="B227" s="86" t="s">
        <v>50</v>
      </c>
      <c r="C227" s="127" t="s">
        <v>43</v>
      </c>
      <c r="D227" s="127" t="s">
        <v>51</v>
      </c>
      <c r="E227" s="127" t="s">
        <v>53</v>
      </c>
      <c r="F227" s="117" t="s">
        <v>49</v>
      </c>
      <c r="G227" s="88">
        <v>46217</v>
      </c>
      <c r="H227" s="87" t="s">
        <v>1324</v>
      </c>
      <c r="I227" s="88" t="s">
        <v>1314</v>
      </c>
      <c r="J227" s="89" t="s">
        <v>2469</v>
      </c>
      <c r="K227" s="89" t="s">
        <v>1325</v>
      </c>
      <c r="L227" s="89" t="s">
        <v>1227</v>
      </c>
      <c r="M227" s="118" t="s">
        <v>1326</v>
      </c>
      <c r="N227" s="90">
        <v>2000</v>
      </c>
      <c r="O227" s="91">
        <v>46211</v>
      </c>
      <c r="P227" s="90" t="s">
        <v>964</v>
      </c>
      <c r="Q227" s="90">
        <v>80</v>
      </c>
      <c r="R227" s="90">
        <v>25430</v>
      </c>
      <c r="S227" s="130">
        <v>5200</v>
      </c>
      <c r="T227" s="90">
        <f t="shared" si="12"/>
        <v>20230</v>
      </c>
      <c r="U227" s="92">
        <f t="shared" si="13"/>
        <v>18390.909090909088</v>
      </c>
      <c r="V227" s="92">
        <f t="shared" si="14"/>
        <v>36781818.18181818</v>
      </c>
      <c r="W227" s="92">
        <f t="shared" si="15"/>
        <v>3678181.8181818184</v>
      </c>
      <c r="Y227" s="115"/>
    </row>
    <row r="228" spans="1:25" s="94" customFormat="1" ht="30" customHeight="1">
      <c r="A228" s="85">
        <v>218</v>
      </c>
      <c r="B228" s="86" t="s">
        <v>50</v>
      </c>
      <c r="C228" s="127" t="s">
        <v>43</v>
      </c>
      <c r="D228" s="127" t="s">
        <v>51</v>
      </c>
      <c r="E228" s="127" t="s">
        <v>54</v>
      </c>
      <c r="F228" s="117" t="s">
        <v>49</v>
      </c>
      <c r="G228" s="88">
        <v>46217</v>
      </c>
      <c r="H228" s="87" t="s">
        <v>1327</v>
      </c>
      <c r="I228" s="88" t="s">
        <v>1315</v>
      </c>
      <c r="J228" s="89" t="s">
        <v>2500</v>
      </c>
      <c r="K228" s="89" t="s">
        <v>1329</v>
      </c>
      <c r="L228" s="89" t="s">
        <v>1227</v>
      </c>
      <c r="M228" s="118" t="s">
        <v>1330</v>
      </c>
      <c r="N228" s="90">
        <v>8000</v>
      </c>
      <c r="O228" s="91">
        <v>46211</v>
      </c>
      <c r="P228" s="90" t="s">
        <v>964</v>
      </c>
      <c r="Q228" s="90">
        <v>80</v>
      </c>
      <c r="R228" s="90">
        <v>25890</v>
      </c>
      <c r="S228" s="130">
        <v>5300</v>
      </c>
      <c r="T228" s="90">
        <f t="shared" si="12"/>
        <v>20590</v>
      </c>
      <c r="U228" s="92">
        <f t="shared" si="13"/>
        <v>18718.181818181816</v>
      </c>
      <c r="V228" s="92">
        <f t="shared" si="14"/>
        <v>149745454.54545453</v>
      </c>
      <c r="W228" s="92">
        <f t="shared" si="15"/>
        <v>14974545.454545453</v>
      </c>
      <c r="Y228" s="115"/>
    </row>
    <row r="229" spans="1:25" s="94" customFormat="1" ht="30" customHeight="1">
      <c r="A229" s="85">
        <v>219</v>
      </c>
      <c r="B229" s="86" t="s">
        <v>50</v>
      </c>
      <c r="C229" s="127">
        <v>91</v>
      </c>
      <c r="D229" s="127" t="s">
        <v>51</v>
      </c>
      <c r="E229" s="127" t="s">
        <v>54</v>
      </c>
      <c r="F229" s="117" t="s">
        <v>49</v>
      </c>
      <c r="G229" s="88">
        <v>46217</v>
      </c>
      <c r="H229" s="87" t="s">
        <v>1328</v>
      </c>
      <c r="I229" s="88" t="s">
        <v>1316</v>
      </c>
      <c r="J229" s="89" t="s">
        <v>2501</v>
      </c>
      <c r="K229" s="89" t="s">
        <v>1329</v>
      </c>
      <c r="L229" s="89" t="s">
        <v>1227</v>
      </c>
      <c r="M229" s="118" t="s">
        <v>1330</v>
      </c>
      <c r="N229" s="90">
        <v>4000</v>
      </c>
      <c r="O229" s="91">
        <v>46211</v>
      </c>
      <c r="P229" s="90" t="s">
        <v>964</v>
      </c>
      <c r="Q229" s="90">
        <v>80</v>
      </c>
      <c r="R229" s="90">
        <v>29970</v>
      </c>
      <c r="S229" s="130">
        <v>3600</v>
      </c>
      <c r="T229" s="90">
        <f t="shared" si="12"/>
        <v>26370</v>
      </c>
      <c r="U229" s="92">
        <f t="shared" si="13"/>
        <v>23972.727272727268</v>
      </c>
      <c r="V229" s="92">
        <f t="shared" si="14"/>
        <v>95890909.090909079</v>
      </c>
      <c r="W229" s="92">
        <f t="shared" si="15"/>
        <v>9589090.9090909082</v>
      </c>
      <c r="Y229" s="115"/>
    </row>
    <row r="230" spans="1:25" s="94" customFormat="1" ht="30" customHeight="1">
      <c r="A230" s="85">
        <v>220</v>
      </c>
      <c r="B230" s="86" t="s">
        <v>50</v>
      </c>
      <c r="C230" s="127" t="s">
        <v>43</v>
      </c>
      <c r="D230" s="127" t="s">
        <v>51</v>
      </c>
      <c r="E230" s="127" t="s">
        <v>54</v>
      </c>
      <c r="F230" s="117" t="s">
        <v>49</v>
      </c>
      <c r="G230" s="88">
        <v>46217</v>
      </c>
      <c r="H230" s="87" t="s">
        <v>1331</v>
      </c>
      <c r="I230" s="88" t="s">
        <v>1317</v>
      </c>
      <c r="J230" s="89" t="s">
        <v>2502</v>
      </c>
      <c r="K230" s="89" t="s">
        <v>1332</v>
      </c>
      <c r="L230" s="89" t="s">
        <v>1227</v>
      </c>
      <c r="M230" s="118" t="s">
        <v>1333</v>
      </c>
      <c r="N230" s="90">
        <v>16000</v>
      </c>
      <c r="O230" s="91">
        <v>46211</v>
      </c>
      <c r="P230" s="90" t="s">
        <v>964</v>
      </c>
      <c r="Q230" s="90">
        <v>80</v>
      </c>
      <c r="R230" s="90">
        <v>26080</v>
      </c>
      <c r="S230" s="130">
        <v>5300</v>
      </c>
      <c r="T230" s="90">
        <f t="shared" si="12"/>
        <v>20780</v>
      </c>
      <c r="U230" s="92">
        <f t="shared" si="13"/>
        <v>18890.909090909088</v>
      </c>
      <c r="V230" s="92">
        <f t="shared" si="14"/>
        <v>302254545.45454538</v>
      </c>
      <c r="W230" s="92">
        <f t="shared" si="15"/>
        <v>30225454.545454539</v>
      </c>
      <c r="Y230" s="115"/>
    </row>
    <row r="231" spans="1:25" s="94" customFormat="1" ht="30" customHeight="1">
      <c r="A231" s="85">
        <v>221</v>
      </c>
      <c r="B231" s="86" t="s">
        <v>50</v>
      </c>
      <c r="C231" s="127" t="s">
        <v>43</v>
      </c>
      <c r="D231" s="127" t="s">
        <v>51</v>
      </c>
      <c r="E231" s="127" t="s">
        <v>54</v>
      </c>
      <c r="F231" s="117" t="s">
        <v>49</v>
      </c>
      <c r="G231" s="88">
        <v>46217</v>
      </c>
      <c r="H231" s="87" t="s">
        <v>1334</v>
      </c>
      <c r="I231" s="88" t="s">
        <v>1318</v>
      </c>
      <c r="J231" s="89" t="s">
        <v>2503</v>
      </c>
      <c r="K231" s="89" t="s">
        <v>1335</v>
      </c>
      <c r="L231" s="89" t="s">
        <v>1227</v>
      </c>
      <c r="M231" s="118" t="s">
        <v>1336</v>
      </c>
      <c r="N231" s="90">
        <v>4000</v>
      </c>
      <c r="O231" s="91">
        <v>46211</v>
      </c>
      <c r="P231" s="90" t="s">
        <v>964</v>
      </c>
      <c r="Q231" s="90">
        <v>80</v>
      </c>
      <c r="R231" s="90">
        <v>25990</v>
      </c>
      <c r="S231" s="130">
        <v>5300</v>
      </c>
      <c r="T231" s="90">
        <f t="shared" si="12"/>
        <v>20690</v>
      </c>
      <c r="U231" s="92">
        <f t="shared" si="13"/>
        <v>18809.090909090904</v>
      </c>
      <c r="V231" s="92">
        <f t="shared" si="14"/>
        <v>75236363.636363626</v>
      </c>
      <c r="W231" s="92">
        <f t="shared" si="15"/>
        <v>7523636.3636363633</v>
      </c>
      <c r="Y231" s="115"/>
    </row>
    <row r="232" spans="1:25" s="94" customFormat="1" ht="30" customHeight="1">
      <c r="A232" s="85">
        <v>222</v>
      </c>
      <c r="B232" s="86" t="s">
        <v>50</v>
      </c>
      <c r="C232" s="127" t="s">
        <v>43</v>
      </c>
      <c r="D232" s="127" t="s">
        <v>51</v>
      </c>
      <c r="E232" s="127" t="s">
        <v>52</v>
      </c>
      <c r="F232" s="117" t="s">
        <v>49</v>
      </c>
      <c r="G232" s="88">
        <v>46217</v>
      </c>
      <c r="H232" s="87" t="s">
        <v>1354</v>
      </c>
      <c r="I232" s="88" t="s">
        <v>1366</v>
      </c>
      <c r="J232" s="89" t="s">
        <v>1355</v>
      </c>
      <c r="K232" s="89" t="s">
        <v>1356</v>
      </c>
      <c r="L232" s="89" t="s">
        <v>1365</v>
      </c>
      <c r="M232" s="118" t="s">
        <v>1357</v>
      </c>
      <c r="N232" s="90">
        <v>80000</v>
      </c>
      <c r="O232" s="91">
        <v>46211</v>
      </c>
      <c r="P232" s="90" t="s">
        <v>964</v>
      </c>
      <c r="Q232" s="90">
        <v>80</v>
      </c>
      <c r="R232" s="90">
        <v>25400</v>
      </c>
      <c r="S232" s="130">
        <v>5300</v>
      </c>
      <c r="T232" s="90">
        <f t="shared" si="12"/>
        <v>20100</v>
      </c>
      <c r="U232" s="92">
        <f t="shared" si="13"/>
        <v>18272.727272727268</v>
      </c>
      <c r="V232" s="92">
        <f t="shared" si="14"/>
        <v>1461818181.8181815</v>
      </c>
      <c r="W232" s="92">
        <f t="shared" si="15"/>
        <v>146181818.18181816</v>
      </c>
      <c r="Y232" s="115"/>
    </row>
    <row r="233" spans="1:25" s="94" customFormat="1" ht="30" customHeight="1">
      <c r="A233" s="85">
        <v>223</v>
      </c>
      <c r="B233" s="86" t="s">
        <v>50</v>
      </c>
      <c r="C233" s="127" t="s">
        <v>43</v>
      </c>
      <c r="D233" s="127" t="s">
        <v>51</v>
      </c>
      <c r="E233" s="127" t="s">
        <v>52</v>
      </c>
      <c r="F233" s="117" t="s">
        <v>49</v>
      </c>
      <c r="G233" s="88">
        <v>46218</v>
      </c>
      <c r="H233" s="87" t="s">
        <v>1368</v>
      </c>
      <c r="I233" s="88" t="s">
        <v>1367</v>
      </c>
      <c r="J233" s="89" t="s">
        <v>1369</v>
      </c>
      <c r="K233" s="89" t="s">
        <v>1370</v>
      </c>
      <c r="L233" s="89" t="s">
        <v>1365</v>
      </c>
      <c r="M233" s="118" t="s">
        <v>1371</v>
      </c>
      <c r="N233" s="90">
        <v>100000</v>
      </c>
      <c r="O233" s="91">
        <v>46211</v>
      </c>
      <c r="P233" s="90" t="s">
        <v>964</v>
      </c>
      <c r="Q233" s="90">
        <v>80</v>
      </c>
      <c r="R233" s="90">
        <v>25400</v>
      </c>
      <c r="S233" s="130">
        <v>5300</v>
      </c>
      <c r="T233" s="90">
        <f t="shared" si="12"/>
        <v>20100</v>
      </c>
      <c r="U233" s="92">
        <f t="shared" si="13"/>
        <v>18272.727272727268</v>
      </c>
      <c r="V233" s="92">
        <f t="shared" si="14"/>
        <v>1827272727.272727</v>
      </c>
      <c r="W233" s="92">
        <f t="shared" si="15"/>
        <v>182727272.72727272</v>
      </c>
      <c r="Y233" s="115"/>
    </row>
    <row r="234" spans="1:25" s="94" customFormat="1" ht="30" customHeight="1">
      <c r="A234" s="85">
        <v>224</v>
      </c>
      <c r="B234" s="86" t="s">
        <v>50</v>
      </c>
      <c r="C234" s="127" t="s">
        <v>43</v>
      </c>
      <c r="D234" s="127" t="s">
        <v>51</v>
      </c>
      <c r="E234" s="127" t="s">
        <v>52</v>
      </c>
      <c r="F234" s="117" t="s">
        <v>49</v>
      </c>
      <c r="G234" s="88">
        <v>46218</v>
      </c>
      <c r="H234" s="87" t="s">
        <v>1372</v>
      </c>
      <c r="I234" s="88" t="s">
        <v>1377</v>
      </c>
      <c r="J234" s="89" t="s">
        <v>1373</v>
      </c>
      <c r="K234" s="89" t="s">
        <v>1374</v>
      </c>
      <c r="L234" s="89" t="s">
        <v>1365</v>
      </c>
      <c r="M234" s="118" t="s">
        <v>1375</v>
      </c>
      <c r="N234" s="90">
        <v>100000</v>
      </c>
      <c r="O234" s="91">
        <v>46211</v>
      </c>
      <c r="P234" s="90" t="s">
        <v>964</v>
      </c>
      <c r="Q234" s="90">
        <v>80</v>
      </c>
      <c r="R234" s="90">
        <v>25400</v>
      </c>
      <c r="S234" s="130">
        <v>5300</v>
      </c>
      <c r="T234" s="90">
        <f t="shared" si="12"/>
        <v>20100</v>
      </c>
      <c r="U234" s="92">
        <f t="shared" si="13"/>
        <v>18272.727272727268</v>
      </c>
      <c r="V234" s="92">
        <f t="shared" si="14"/>
        <v>1827272727.272727</v>
      </c>
      <c r="W234" s="92">
        <f t="shared" si="15"/>
        <v>182727272.72727272</v>
      </c>
      <c r="Y234" s="115"/>
    </row>
    <row r="235" spans="1:25" s="94" customFormat="1" ht="30" customHeight="1">
      <c r="A235" s="85">
        <v>225</v>
      </c>
      <c r="B235" s="86" t="s">
        <v>50</v>
      </c>
      <c r="C235" s="127" t="s">
        <v>43</v>
      </c>
      <c r="D235" s="127" t="s">
        <v>51</v>
      </c>
      <c r="E235" s="127" t="s">
        <v>52</v>
      </c>
      <c r="F235" s="117" t="s">
        <v>49</v>
      </c>
      <c r="G235" s="88">
        <v>46218</v>
      </c>
      <c r="H235" s="87" t="s">
        <v>1376</v>
      </c>
      <c r="I235" s="88" t="s">
        <v>1378</v>
      </c>
      <c r="J235" s="89" t="s">
        <v>1379</v>
      </c>
      <c r="K235" s="89" t="s">
        <v>1380</v>
      </c>
      <c r="L235" s="89" t="s">
        <v>1365</v>
      </c>
      <c r="M235" s="118" t="s">
        <v>1381</v>
      </c>
      <c r="N235" s="90">
        <v>30000</v>
      </c>
      <c r="O235" s="91">
        <v>46211</v>
      </c>
      <c r="P235" s="90" t="s">
        <v>964</v>
      </c>
      <c r="Q235" s="90">
        <v>80</v>
      </c>
      <c r="R235" s="90">
        <v>25400</v>
      </c>
      <c r="S235" s="130">
        <v>5300</v>
      </c>
      <c r="T235" s="90">
        <f t="shared" si="12"/>
        <v>20100</v>
      </c>
      <c r="U235" s="92">
        <f t="shared" si="13"/>
        <v>18272.727272727268</v>
      </c>
      <c r="V235" s="92">
        <f t="shared" si="14"/>
        <v>548181818.18181813</v>
      </c>
      <c r="W235" s="92">
        <f t="shared" si="15"/>
        <v>54818181.818181813</v>
      </c>
      <c r="Y235" s="115"/>
    </row>
    <row r="236" spans="1:25" s="94" customFormat="1" ht="30" customHeight="1">
      <c r="A236" s="85">
        <v>226</v>
      </c>
      <c r="B236" s="86" t="s">
        <v>50</v>
      </c>
      <c r="C236" s="127" t="s">
        <v>43</v>
      </c>
      <c r="D236" s="127" t="s">
        <v>51</v>
      </c>
      <c r="E236" s="127" t="s">
        <v>52</v>
      </c>
      <c r="F236" s="117" t="s">
        <v>49</v>
      </c>
      <c r="G236" s="88">
        <v>46218</v>
      </c>
      <c r="H236" s="87" t="s">
        <v>1382</v>
      </c>
      <c r="I236" s="88" t="s">
        <v>1383</v>
      </c>
      <c r="J236" s="89" t="s">
        <v>1384</v>
      </c>
      <c r="K236" s="89" t="s">
        <v>1385</v>
      </c>
      <c r="L236" s="89" t="s">
        <v>1365</v>
      </c>
      <c r="M236" s="118" t="s">
        <v>1386</v>
      </c>
      <c r="N236" s="90">
        <v>12000</v>
      </c>
      <c r="O236" s="91">
        <v>46211</v>
      </c>
      <c r="P236" s="90" t="s">
        <v>964</v>
      </c>
      <c r="Q236" s="90">
        <v>80</v>
      </c>
      <c r="R236" s="90">
        <v>25620</v>
      </c>
      <c r="S236" s="130">
        <v>1156</v>
      </c>
      <c r="T236" s="90">
        <f t="shared" si="12"/>
        <v>24464</v>
      </c>
      <c r="U236" s="92">
        <f t="shared" si="13"/>
        <v>22239.999999999996</v>
      </c>
      <c r="V236" s="92">
        <f t="shared" si="14"/>
        <v>266879999.99999997</v>
      </c>
      <c r="W236" s="92">
        <f t="shared" si="15"/>
        <v>26688000</v>
      </c>
      <c r="Y236" s="115"/>
    </row>
    <row r="237" spans="1:25" s="94" customFormat="1" ht="30" customHeight="1">
      <c r="A237" s="85">
        <v>227</v>
      </c>
      <c r="B237" s="86" t="s">
        <v>50</v>
      </c>
      <c r="C237" s="127" t="s">
        <v>43</v>
      </c>
      <c r="D237" s="127" t="s">
        <v>51</v>
      </c>
      <c r="E237" s="127" t="s">
        <v>54</v>
      </c>
      <c r="F237" s="117" t="s">
        <v>49</v>
      </c>
      <c r="G237" s="88">
        <v>46218</v>
      </c>
      <c r="H237" s="87" t="s">
        <v>1387</v>
      </c>
      <c r="I237" s="88" t="s">
        <v>1388</v>
      </c>
      <c r="J237" s="89" t="s">
        <v>2504</v>
      </c>
      <c r="K237" s="89" t="s">
        <v>1390</v>
      </c>
      <c r="L237" s="89" t="s">
        <v>1365</v>
      </c>
      <c r="M237" s="118" t="s">
        <v>1391</v>
      </c>
      <c r="N237" s="90">
        <v>20000</v>
      </c>
      <c r="O237" s="91">
        <v>46211</v>
      </c>
      <c r="P237" s="90" t="s">
        <v>964</v>
      </c>
      <c r="Q237" s="90">
        <v>80</v>
      </c>
      <c r="R237" s="90">
        <v>25940</v>
      </c>
      <c r="S237" s="130">
        <v>5300</v>
      </c>
      <c r="T237" s="90">
        <f t="shared" si="12"/>
        <v>20640</v>
      </c>
      <c r="U237" s="92">
        <f t="shared" si="13"/>
        <v>18763.63636363636</v>
      </c>
      <c r="V237" s="92">
        <f t="shared" si="14"/>
        <v>375272727.27272719</v>
      </c>
      <c r="W237" s="92">
        <f t="shared" si="15"/>
        <v>37527272.727272719</v>
      </c>
      <c r="Y237" s="115"/>
    </row>
    <row r="238" spans="1:25" s="94" customFormat="1" ht="30" customHeight="1">
      <c r="A238" s="85">
        <v>228</v>
      </c>
      <c r="B238" s="86" t="s">
        <v>50</v>
      </c>
      <c r="C238" s="127" t="s">
        <v>43</v>
      </c>
      <c r="D238" s="127" t="s">
        <v>51</v>
      </c>
      <c r="E238" s="127" t="s">
        <v>54</v>
      </c>
      <c r="F238" s="117" t="s">
        <v>49</v>
      </c>
      <c r="G238" s="88">
        <v>46218</v>
      </c>
      <c r="H238" s="87" t="s">
        <v>1392</v>
      </c>
      <c r="I238" s="88" t="s">
        <v>1389</v>
      </c>
      <c r="J238" s="89" t="s">
        <v>2505</v>
      </c>
      <c r="K238" s="89" t="s">
        <v>1393</v>
      </c>
      <c r="L238" s="89" t="s">
        <v>1365</v>
      </c>
      <c r="M238" s="118" t="s">
        <v>1394</v>
      </c>
      <c r="N238" s="90">
        <v>21000</v>
      </c>
      <c r="O238" s="91">
        <v>46211</v>
      </c>
      <c r="P238" s="90" t="s">
        <v>964</v>
      </c>
      <c r="Q238" s="90">
        <v>80</v>
      </c>
      <c r="R238" s="90">
        <v>25890</v>
      </c>
      <c r="S238" s="130">
        <v>5300</v>
      </c>
      <c r="T238" s="90">
        <f t="shared" si="12"/>
        <v>20590</v>
      </c>
      <c r="U238" s="92">
        <f t="shared" si="13"/>
        <v>18718.181818181816</v>
      </c>
      <c r="V238" s="92">
        <f t="shared" si="14"/>
        <v>393081818.18181813</v>
      </c>
      <c r="W238" s="92">
        <f t="shared" si="15"/>
        <v>39308181.818181813</v>
      </c>
      <c r="Y238" s="115"/>
    </row>
    <row r="239" spans="1:25" s="94" customFormat="1" ht="30" customHeight="1">
      <c r="A239" s="85">
        <v>229</v>
      </c>
      <c r="B239" s="86" t="s">
        <v>50</v>
      </c>
      <c r="C239" s="127">
        <v>91</v>
      </c>
      <c r="D239" s="127" t="s">
        <v>51</v>
      </c>
      <c r="E239" s="127" t="s">
        <v>54</v>
      </c>
      <c r="F239" s="117" t="s">
        <v>49</v>
      </c>
      <c r="G239" s="88">
        <v>46218</v>
      </c>
      <c r="H239" s="87" t="s">
        <v>1404</v>
      </c>
      <c r="I239" s="88" t="s">
        <v>1405</v>
      </c>
      <c r="J239" s="89" t="s">
        <v>2507</v>
      </c>
      <c r="K239" s="89" t="s">
        <v>1406</v>
      </c>
      <c r="L239" s="89" t="s">
        <v>1365</v>
      </c>
      <c r="M239" s="118" t="s">
        <v>1408</v>
      </c>
      <c r="N239" s="90">
        <v>8000</v>
      </c>
      <c r="O239" s="91">
        <v>46211</v>
      </c>
      <c r="P239" s="90" t="s">
        <v>964</v>
      </c>
      <c r="Q239" s="90">
        <v>80</v>
      </c>
      <c r="R239" s="90">
        <v>30000</v>
      </c>
      <c r="S239" s="130">
        <v>3100</v>
      </c>
      <c r="T239" s="90">
        <f t="shared" si="12"/>
        <v>26900</v>
      </c>
      <c r="U239" s="92">
        <f t="shared" si="13"/>
        <v>24454.545454545452</v>
      </c>
      <c r="V239" s="92">
        <f t="shared" si="14"/>
        <v>195636363.6363636</v>
      </c>
      <c r="W239" s="92">
        <f t="shared" si="15"/>
        <v>19563636.36363636</v>
      </c>
      <c r="Y239" s="115"/>
    </row>
    <row r="240" spans="1:25" s="94" customFormat="1" ht="30" customHeight="1">
      <c r="A240" s="85">
        <v>230</v>
      </c>
      <c r="B240" s="86" t="s">
        <v>50</v>
      </c>
      <c r="C240" s="127" t="s">
        <v>43</v>
      </c>
      <c r="D240" s="127" t="s">
        <v>51</v>
      </c>
      <c r="E240" s="127" t="s">
        <v>61</v>
      </c>
      <c r="F240" s="117" t="s">
        <v>49</v>
      </c>
      <c r="G240" s="88">
        <v>46218</v>
      </c>
      <c r="H240" s="87" t="s">
        <v>1409</v>
      </c>
      <c r="I240" s="88" t="s">
        <v>1410</v>
      </c>
      <c r="J240" s="89" t="s">
        <v>2441</v>
      </c>
      <c r="K240" s="89" t="s">
        <v>1413</v>
      </c>
      <c r="L240" s="89" t="s">
        <v>1365</v>
      </c>
      <c r="M240" s="118" t="s">
        <v>1414</v>
      </c>
      <c r="N240" s="90">
        <v>100000</v>
      </c>
      <c r="O240" s="91">
        <v>46211</v>
      </c>
      <c r="P240" s="90" t="s">
        <v>964</v>
      </c>
      <c r="Q240" s="90">
        <v>80</v>
      </c>
      <c r="R240" s="90">
        <v>25950</v>
      </c>
      <c r="S240" s="130">
        <v>5300</v>
      </c>
      <c r="T240" s="90">
        <f t="shared" si="12"/>
        <v>20650</v>
      </c>
      <c r="U240" s="92">
        <f t="shared" si="13"/>
        <v>18772.727272727268</v>
      </c>
      <c r="V240" s="92">
        <f t="shared" si="14"/>
        <v>1877272727.272727</v>
      </c>
      <c r="W240" s="92">
        <f t="shared" si="15"/>
        <v>187727272.72727272</v>
      </c>
      <c r="Y240" s="115"/>
    </row>
    <row r="241" spans="1:25" s="94" customFormat="1" ht="30" customHeight="1">
      <c r="A241" s="85">
        <v>231</v>
      </c>
      <c r="B241" s="86" t="s">
        <v>50</v>
      </c>
      <c r="C241" s="127" t="s">
        <v>43</v>
      </c>
      <c r="D241" s="127" t="s">
        <v>51</v>
      </c>
      <c r="E241" s="127" t="s">
        <v>55</v>
      </c>
      <c r="F241" s="117" t="s">
        <v>49</v>
      </c>
      <c r="G241" s="88">
        <v>46218</v>
      </c>
      <c r="H241" s="87" t="s">
        <v>1416</v>
      </c>
      <c r="I241" s="88" t="s">
        <v>1411</v>
      </c>
      <c r="J241" s="89" t="s">
        <v>2591</v>
      </c>
      <c r="K241" s="89" t="s">
        <v>1417</v>
      </c>
      <c r="L241" s="89" t="s">
        <v>1365</v>
      </c>
      <c r="M241" s="118" t="s">
        <v>1418</v>
      </c>
      <c r="N241" s="90">
        <v>80000</v>
      </c>
      <c r="O241" s="91">
        <v>46211</v>
      </c>
      <c r="P241" s="90" t="s">
        <v>964</v>
      </c>
      <c r="Q241" s="90">
        <v>80</v>
      </c>
      <c r="R241" s="90">
        <v>25430</v>
      </c>
      <c r="S241" s="130">
        <v>4800</v>
      </c>
      <c r="T241" s="90">
        <f t="shared" si="12"/>
        <v>20630</v>
      </c>
      <c r="U241" s="92">
        <f t="shared" si="13"/>
        <v>18754.545454545452</v>
      </c>
      <c r="V241" s="92">
        <f t="shared" si="14"/>
        <v>1500363636.363636</v>
      </c>
      <c r="W241" s="92">
        <f t="shared" si="15"/>
        <v>150036363.6363636</v>
      </c>
      <c r="Y241" s="115"/>
    </row>
    <row r="242" spans="1:25" s="94" customFormat="1" ht="30" customHeight="1">
      <c r="A242" s="85">
        <v>232</v>
      </c>
      <c r="B242" s="86" t="s">
        <v>50</v>
      </c>
      <c r="C242" s="127" t="s">
        <v>43</v>
      </c>
      <c r="D242" s="127" t="s">
        <v>51</v>
      </c>
      <c r="E242" s="127" t="s">
        <v>52</v>
      </c>
      <c r="F242" s="117" t="s">
        <v>49</v>
      </c>
      <c r="G242" s="88">
        <v>46218</v>
      </c>
      <c r="H242" s="87" t="s">
        <v>1419</v>
      </c>
      <c r="I242" s="88" t="s">
        <v>1412</v>
      </c>
      <c r="J242" s="89" t="s">
        <v>2651</v>
      </c>
      <c r="K242" s="89" t="s">
        <v>1420</v>
      </c>
      <c r="L242" s="89" t="s">
        <v>1365</v>
      </c>
      <c r="M242" s="118" t="s">
        <v>1421</v>
      </c>
      <c r="N242" s="90">
        <v>7000</v>
      </c>
      <c r="O242" s="91">
        <v>46211</v>
      </c>
      <c r="P242" s="90" t="s">
        <v>964</v>
      </c>
      <c r="Q242" s="90">
        <v>80</v>
      </c>
      <c r="R242" s="90">
        <v>25400</v>
      </c>
      <c r="S242" s="130">
        <v>5300</v>
      </c>
      <c r="T242" s="90">
        <f t="shared" si="12"/>
        <v>20100</v>
      </c>
      <c r="U242" s="92">
        <f t="shared" si="13"/>
        <v>18272.727272727268</v>
      </c>
      <c r="V242" s="92">
        <f t="shared" si="14"/>
        <v>127909090.90909089</v>
      </c>
      <c r="W242" s="92">
        <f t="shared" si="15"/>
        <v>12790909.09090909</v>
      </c>
      <c r="Y242" s="115"/>
    </row>
    <row r="243" spans="1:25" s="94" customFormat="1" ht="30" customHeight="1">
      <c r="A243" s="85">
        <v>233</v>
      </c>
      <c r="B243" s="86" t="s">
        <v>50</v>
      </c>
      <c r="C243" s="127" t="s">
        <v>43</v>
      </c>
      <c r="D243" s="127" t="s">
        <v>51</v>
      </c>
      <c r="E243" s="127" t="s">
        <v>54</v>
      </c>
      <c r="F243" s="117" t="s">
        <v>49</v>
      </c>
      <c r="G243" s="88">
        <v>46218</v>
      </c>
      <c r="H243" s="87" t="s">
        <v>1422</v>
      </c>
      <c r="I243" s="88" t="s">
        <v>1423</v>
      </c>
      <c r="J243" s="89" t="s">
        <v>2506</v>
      </c>
      <c r="K243" s="89" t="s">
        <v>1427</v>
      </c>
      <c r="L243" s="89" t="s">
        <v>1365</v>
      </c>
      <c r="M243" s="118" t="s">
        <v>1428</v>
      </c>
      <c r="N243" s="90">
        <v>12000</v>
      </c>
      <c r="O243" s="91">
        <v>46211</v>
      </c>
      <c r="P243" s="90" t="s">
        <v>964</v>
      </c>
      <c r="Q243" s="90">
        <v>80</v>
      </c>
      <c r="R243" s="90">
        <v>25890</v>
      </c>
      <c r="S243" s="130">
        <v>4800</v>
      </c>
      <c r="T243" s="90">
        <f t="shared" si="12"/>
        <v>21090</v>
      </c>
      <c r="U243" s="92">
        <f t="shared" si="13"/>
        <v>19172.727272727268</v>
      </c>
      <c r="V243" s="92">
        <f t="shared" si="14"/>
        <v>230072727.27272725</v>
      </c>
      <c r="W243" s="92">
        <f t="shared" si="15"/>
        <v>23007272.727272727</v>
      </c>
      <c r="Y243" s="115"/>
    </row>
    <row r="244" spans="1:25" s="94" customFormat="1" ht="30" customHeight="1">
      <c r="A244" s="85">
        <v>234</v>
      </c>
      <c r="B244" s="86" t="s">
        <v>50</v>
      </c>
      <c r="C244" s="127" t="s">
        <v>43</v>
      </c>
      <c r="D244" s="127" t="s">
        <v>51</v>
      </c>
      <c r="E244" s="127" t="s">
        <v>55</v>
      </c>
      <c r="F244" s="117" t="s">
        <v>49</v>
      </c>
      <c r="G244" s="88">
        <v>46218</v>
      </c>
      <c r="H244" s="87" t="s">
        <v>1429</v>
      </c>
      <c r="I244" s="88" t="s">
        <v>1424</v>
      </c>
      <c r="J244" s="89" t="s">
        <v>2592</v>
      </c>
      <c r="K244" s="89" t="s">
        <v>1430</v>
      </c>
      <c r="L244" s="89" t="s">
        <v>1365</v>
      </c>
      <c r="M244" s="118" t="s">
        <v>1431</v>
      </c>
      <c r="N244" s="90">
        <v>50000</v>
      </c>
      <c r="O244" s="91">
        <v>46211</v>
      </c>
      <c r="P244" s="90" t="s">
        <v>964</v>
      </c>
      <c r="Q244" s="90">
        <v>80</v>
      </c>
      <c r="R244" s="90">
        <v>25430</v>
      </c>
      <c r="S244" s="130">
        <v>4800</v>
      </c>
      <c r="T244" s="90">
        <f t="shared" si="12"/>
        <v>20630</v>
      </c>
      <c r="U244" s="92">
        <f t="shared" si="13"/>
        <v>18754.545454545452</v>
      </c>
      <c r="V244" s="92">
        <f t="shared" si="14"/>
        <v>937727272.72727263</v>
      </c>
      <c r="W244" s="92">
        <f t="shared" si="15"/>
        <v>93772727.272727266</v>
      </c>
      <c r="Y244" s="115"/>
    </row>
    <row r="245" spans="1:25" s="94" customFormat="1" ht="30" customHeight="1">
      <c r="A245" s="85">
        <v>235</v>
      </c>
      <c r="B245" s="86" t="s">
        <v>50</v>
      </c>
      <c r="C245" s="127" t="s">
        <v>43</v>
      </c>
      <c r="D245" s="127" t="s">
        <v>51</v>
      </c>
      <c r="E245" s="127" t="s">
        <v>53</v>
      </c>
      <c r="F245" s="117" t="s">
        <v>49</v>
      </c>
      <c r="G245" s="88">
        <v>46218</v>
      </c>
      <c r="H245" s="87" t="s">
        <v>1432</v>
      </c>
      <c r="I245" s="88" t="s">
        <v>1425</v>
      </c>
      <c r="J245" s="89" t="s">
        <v>2470</v>
      </c>
      <c r="K245" s="89" t="s">
        <v>1433</v>
      </c>
      <c r="L245" s="89" t="s">
        <v>1365</v>
      </c>
      <c r="M245" s="118" t="s">
        <v>1434</v>
      </c>
      <c r="N245" s="90">
        <v>2000</v>
      </c>
      <c r="O245" s="91">
        <v>46211</v>
      </c>
      <c r="P245" s="90" t="s">
        <v>964</v>
      </c>
      <c r="Q245" s="90">
        <v>80</v>
      </c>
      <c r="R245" s="90">
        <v>25430</v>
      </c>
      <c r="S245" s="130">
        <v>4700</v>
      </c>
      <c r="T245" s="90">
        <f t="shared" si="12"/>
        <v>20730</v>
      </c>
      <c r="U245" s="92">
        <f t="shared" si="13"/>
        <v>18845.454545454544</v>
      </c>
      <c r="V245" s="92">
        <f t="shared" si="14"/>
        <v>37690909.090909086</v>
      </c>
      <c r="W245" s="92">
        <f t="shared" si="15"/>
        <v>3769090.9090909087</v>
      </c>
      <c r="Y245" s="115"/>
    </row>
    <row r="246" spans="1:25" s="94" customFormat="1" ht="30" customHeight="1">
      <c r="A246" s="85">
        <v>236</v>
      </c>
      <c r="B246" s="86" t="s">
        <v>50</v>
      </c>
      <c r="C246" s="127" t="s">
        <v>43</v>
      </c>
      <c r="D246" s="127" t="s">
        <v>51</v>
      </c>
      <c r="E246" s="127" t="s">
        <v>53</v>
      </c>
      <c r="F246" s="117" t="s">
        <v>49</v>
      </c>
      <c r="G246" s="88">
        <v>46218</v>
      </c>
      <c r="H246" s="87" t="s">
        <v>1435</v>
      </c>
      <c r="I246" s="88" t="s">
        <v>1426</v>
      </c>
      <c r="J246" s="89" t="s">
        <v>2302</v>
      </c>
      <c r="K246" s="89" t="s">
        <v>1436</v>
      </c>
      <c r="L246" s="89" t="s">
        <v>1407</v>
      </c>
      <c r="M246" s="118" t="s">
        <v>1437</v>
      </c>
      <c r="N246" s="90">
        <v>14000</v>
      </c>
      <c r="O246" s="91">
        <v>46211</v>
      </c>
      <c r="P246" s="90" t="s">
        <v>964</v>
      </c>
      <c r="Q246" s="90">
        <v>80</v>
      </c>
      <c r="R246" s="90">
        <v>25430</v>
      </c>
      <c r="S246" s="130">
        <v>4800</v>
      </c>
      <c r="T246" s="90">
        <f t="shared" si="12"/>
        <v>20630</v>
      </c>
      <c r="U246" s="92">
        <f t="shared" si="13"/>
        <v>18754.545454545452</v>
      </c>
      <c r="V246" s="92">
        <f t="shared" si="14"/>
        <v>262563636.36363631</v>
      </c>
      <c r="W246" s="92">
        <f t="shared" si="15"/>
        <v>26256363.636363633</v>
      </c>
      <c r="Y246" s="115"/>
    </row>
    <row r="247" spans="1:25" s="94" customFormat="1" ht="30" customHeight="1">
      <c r="A247" s="85">
        <v>237</v>
      </c>
      <c r="B247" s="86" t="s">
        <v>50</v>
      </c>
      <c r="C247" s="127" t="s">
        <v>43</v>
      </c>
      <c r="D247" s="127" t="s">
        <v>51</v>
      </c>
      <c r="E247" s="127" t="s">
        <v>52</v>
      </c>
      <c r="F247" s="117" t="s">
        <v>49</v>
      </c>
      <c r="G247" s="88">
        <v>46218</v>
      </c>
      <c r="H247" s="87" t="s">
        <v>1438</v>
      </c>
      <c r="I247" s="88" t="s">
        <v>1439</v>
      </c>
      <c r="J247" s="89" t="s">
        <v>1446</v>
      </c>
      <c r="K247" s="89" t="s">
        <v>1447</v>
      </c>
      <c r="L247" s="89" t="s">
        <v>1407</v>
      </c>
      <c r="M247" s="118" t="s">
        <v>1448</v>
      </c>
      <c r="N247" s="90">
        <v>100000</v>
      </c>
      <c r="O247" s="91">
        <v>46211</v>
      </c>
      <c r="P247" s="90" t="s">
        <v>964</v>
      </c>
      <c r="Q247" s="90">
        <v>80</v>
      </c>
      <c r="R247" s="90">
        <v>25400</v>
      </c>
      <c r="S247" s="130">
        <v>4800</v>
      </c>
      <c r="T247" s="90">
        <f t="shared" si="12"/>
        <v>20600</v>
      </c>
      <c r="U247" s="92">
        <f t="shared" si="13"/>
        <v>18727.272727272724</v>
      </c>
      <c r="V247" s="92">
        <f t="shared" si="14"/>
        <v>1872727272.7272725</v>
      </c>
      <c r="W247" s="92">
        <f t="shared" si="15"/>
        <v>187272727.27272725</v>
      </c>
      <c r="Y247" s="115"/>
    </row>
    <row r="248" spans="1:25" s="94" customFormat="1" ht="30" customHeight="1">
      <c r="A248" s="85">
        <v>238</v>
      </c>
      <c r="B248" s="86" t="s">
        <v>50</v>
      </c>
      <c r="C248" s="127" t="s">
        <v>43</v>
      </c>
      <c r="D248" s="127" t="s">
        <v>51</v>
      </c>
      <c r="E248" s="127" t="s">
        <v>52</v>
      </c>
      <c r="F248" s="117" t="s">
        <v>49</v>
      </c>
      <c r="G248" s="88">
        <v>46218</v>
      </c>
      <c r="H248" s="87" t="s">
        <v>1449</v>
      </c>
      <c r="I248" s="88" t="s">
        <v>1440</v>
      </c>
      <c r="J248" s="89" t="s">
        <v>1450</v>
      </c>
      <c r="K248" s="89" t="s">
        <v>1451</v>
      </c>
      <c r="L248" s="89" t="s">
        <v>1407</v>
      </c>
      <c r="M248" s="118" t="s">
        <v>1452</v>
      </c>
      <c r="N248" s="90">
        <v>100000</v>
      </c>
      <c r="O248" s="91">
        <v>46211</v>
      </c>
      <c r="P248" s="90" t="s">
        <v>964</v>
      </c>
      <c r="Q248" s="90">
        <v>80</v>
      </c>
      <c r="R248" s="90">
        <v>25400</v>
      </c>
      <c r="S248" s="130">
        <v>4800</v>
      </c>
      <c r="T248" s="90">
        <f t="shared" si="12"/>
        <v>20600</v>
      </c>
      <c r="U248" s="92">
        <f t="shared" si="13"/>
        <v>18727.272727272724</v>
      </c>
      <c r="V248" s="92">
        <f t="shared" si="14"/>
        <v>1872727272.7272725</v>
      </c>
      <c r="W248" s="92">
        <f t="shared" si="15"/>
        <v>187272727.27272725</v>
      </c>
      <c r="Y248" s="115"/>
    </row>
    <row r="249" spans="1:25" s="94" customFormat="1" ht="30" customHeight="1">
      <c r="A249" s="85">
        <v>239</v>
      </c>
      <c r="B249" s="86" t="s">
        <v>50</v>
      </c>
      <c r="C249" s="127" t="s">
        <v>43</v>
      </c>
      <c r="D249" s="127" t="s">
        <v>51</v>
      </c>
      <c r="E249" s="127" t="s">
        <v>54</v>
      </c>
      <c r="F249" s="117" t="s">
        <v>49</v>
      </c>
      <c r="G249" s="88">
        <v>46218</v>
      </c>
      <c r="H249" s="87" t="s">
        <v>1453</v>
      </c>
      <c r="I249" s="88" t="s">
        <v>1441</v>
      </c>
      <c r="J249" s="89" t="s">
        <v>2508</v>
      </c>
      <c r="K249" s="89" t="s">
        <v>1455</v>
      </c>
      <c r="L249" s="89" t="s">
        <v>1407</v>
      </c>
      <c r="M249" s="118" t="s">
        <v>1456</v>
      </c>
      <c r="N249" s="90">
        <v>48000</v>
      </c>
      <c r="O249" s="91">
        <v>46211</v>
      </c>
      <c r="P249" s="90" t="s">
        <v>964</v>
      </c>
      <c r="Q249" s="90">
        <v>80</v>
      </c>
      <c r="R249" s="90">
        <v>25940</v>
      </c>
      <c r="S249" s="130">
        <v>4800</v>
      </c>
      <c r="T249" s="90">
        <f t="shared" si="12"/>
        <v>21140</v>
      </c>
      <c r="U249" s="92">
        <f t="shared" si="13"/>
        <v>19218.181818181816</v>
      </c>
      <c r="V249" s="92">
        <f t="shared" si="14"/>
        <v>922472727.27272713</v>
      </c>
      <c r="W249" s="92">
        <f t="shared" si="15"/>
        <v>92247272.727272719</v>
      </c>
      <c r="Y249" s="115"/>
    </row>
    <row r="250" spans="1:25" s="94" customFormat="1" ht="30" customHeight="1">
      <c r="A250" s="85">
        <v>240</v>
      </c>
      <c r="B250" s="86" t="s">
        <v>50</v>
      </c>
      <c r="C250" s="127">
        <v>91</v>
      </c>
      <c r="D250" s="127" t="s">
        <v>51</v>
      </c>
      <c r="E250" s="127" t="s">
        <v>54</v>
      </c>
      <c r="F250" s="117" t="s">
        <v>49</v>
      </c>
      <c r="G250" s="88">
        <v>46218</v>
      </c>
      <c r="H250" s="87" t="s">
        <v>1454</v>
      </c>
      <c r="I250" s="88" t="s">
        <v>1442</v>
      </c>
      <c r="J250" s="89" t="s">
        <v>2509</v>
      </c>
      <c r="K250" s="89" t="s">
        <v>1455</v>
      </c>
      <c r="L250" s="89" t="s">
        <v>1407</v>
      </c>
      <c r="M250" s="118" t="s">
        <v>1456</v>
      </c>
      <c r="N250" s="90">
        <v>12000</v>
      </c>
      <c r="O250" s="91">
        <v>46211</v>
      </c>
      <c r="P250" s="90" t="s">
        <v>964</v>
      </c>
      <c r="Q250" s="90">
        <v>80</v>
      </c>
      <c r="R250" s="90">
        <v>30000</v>
      </c>
      <c r="S250" s="130">
        <v>3100</v>
      </c>
      <c r="T250" s="90">
        <f t="shared" si="12"/>
        <v>26900</v>
      </c>
      <c r="U250" s="92">
        <f t="shared" si="13"/>
        <v>24454.545454545452</v>
      </c>
      <c r="V250" s="92">
        <f t="shared" si="14"/>
        <v>293454545.45454544</v>
      </c>
      <c r="W250" s="92">
        <f t="shared" si="15"/>
        <v>29345454.545454547</v>
      </c>
      <c r="Y250" s="115"/>
    </row>
    <row r="251" spans="1:25" s="94" customFormat="1" ht="30" customHeight="1">
      <c r="A251" s="85">
        <v>241</v>
      </c>
      <c r="B251" s="86" t="s">
        <v>50</v>
      </c>
      <c r="C251" s="127" t="s">
        <v>43</v>
      </c>
      <c r="D251" s="127" t="s">
        <v>51</v>
      </c>
      <c r="E251" s="127" t="s">
        <v>52</v>
      </c>
      <c r="F251" s="117" t="s">
        <v>49</v>
      </c>
      <c r="G251" s="88">
        <v>46218</v>
      </c>
      <c r="H251" s="87" t="s">
        <v>1457</v>
      </c>
      <c r="I251" s="88" t="s">
        <v>1443</v>
      </c>
      <c r="J251" s="89" t="s">
        <v>1458</v>
      </c>
      <c r="K251" s="89" t="s">
        <v>1459</v>
      </c>
      <c r="L251" s="89" t="s">
        <v>1407</v>
      </c>
      <c r="M251" s="118" t="s">
        <v>1460</v>
      </c>
      <c r="N251" s="90">
        <v>100000</v>
      </c>
      <c r="O251" s="91">
        <v>46211</v>
      </c>
      <c r="P251" s="90" t="s">
        <v>964</v>
      </c>
      <c r="Q251" s="90">
        <v>80</v>
      </c>
      <c r="R251" s="90">
        <v>25400</v>
      </c>
      <c r="S251" s="130">
        <v>4800</v>
      </c>
      <c r="T251" s="90">
        <f t="shared" si="12"/>
        <v>20600</v>
      </c>
      <c r="U251" s="92">
        <f t="shared" si="13"/>
        <v>18727.272727272724</v>
      </c>
      <c r="V251" s="92">
        <f t="shared" si="14"/>
        <v>1872727272.7272725</v>
      </c>
      <c r="W251" s="92">
        <f t="shared" si="15"/>
        <v>187272727.27272725</v>
      </c>
      <c r="Y251" s="115"/>
    </row>
    <row r="252" spans="1:25" s="94" customFormat="1" ht="30" customHeight="1">
      <c r="A252" s="85">
        <v>242</v>
      </c>
      <c r="B252" s="86" t="s">
        <v>50</v>
      </c>
      <c r="C252" s="127" t="s">
        <v>43</v>
      </c>
      <c r="D252" s="127" t="s">
        <v>51</v>
      </c>
      <c r="E252" s="127" t="s">
        <v>52</v>
      </c>
      <c r="F252" s="117" t="s">
        <v>49</v>
      </c>
      <c r="G252" s="88">
        <v>46218</v>
      </c>
      <c r="H252" s="87" t="s">
        <v>1461</v>
      </c>
      <c r="I252" s="88" t="s">
        <v>1444</v>
      </c>
      <c r="J252" s="89" t="s">
        <v>1462</v>
      </c>
      <c r="K252" s="89" t="s">
        <v>1459</v>
      </c>
      <c r="L252" s="89" t="s">
        <v>1407</v>
      </c>
      <c r="M252" s="118" t="s">
        <v>1463</v>
      </c>
      <c r="N252" s="90">
        <v>20000</v>
      </c>
      <c r="O252" s="91">
        <v>46211</v>
      </c>
      <c r="P252" s="90" t="s">
        <v>964</v>
      </c>
      <c r="Q252" s="90">
        <v>80</v>
      </c>
      <c r="R252" s="90">
        <v>25400</v>
      </c>
      <c r="S252" s="130">
        <v>4800</v>
      </c>
      <c r="T252" s="90">
        <f t="shared" si="12"/>
        <v>20600</v>
      </c>
      <c r="U252" s="92">
        <f t="shared" si="13"/>
        <v>18727.272727272724</v>
      </c>
      <c r="V252" s="92">
        <f t="shared" si="14"/>
        <v>374545454.5454545</v>
      </c>
      <c r="W252" s="92">
        <f t="shared" si="15"/>
        <v>37454545.454545453</v>
      </c>
      <c r="Y252" s="115"/>
    </row>
    <row r="253" spans="1:25" s="94" customFormat="1" ht="30" customHeight="1">
      <c r="A253" s="85">
        <v>243</v>
      </c>
      <c r="B253" s="86" t="s">
        <v>50</v>
      </c>
      <c r="C253" s="127" t="s">
        <v>43</v>
      </c>
      <c r="D253" s="127" t="s">
        <v>51</v>
      </c>
      <c r="E253" s="127" t="s">
        <v>54</v>
      </c>
      <c r="F253" s="117" t="s">
        <v>49</v>
      </c>
      <c r="G253" s="88">
        <v>46218</v>
      </c>
      <c r="H253" s="87" t="s">
        <v>1464</v>
      </c>
      <c r="I253" s="88" t="s">
        <v>1445</v>
      </c>
      <c r="J253" s="89" t="s">
        <v>2510</v>
      </c>
      <c r="K253" s="89" t="s">
        <v>1465</v>
      </c>
      <c r="L253" s="89" t="s">
        <v>1407</v>
      </c>
      <c r="M253" s="118" t="s">
        <v>1466</v>
      </c>
      <c r="N253" s="90">
        <v>20000</v>
      </c>
      <c r="O253" s="91">
        <v>46211</v>
      </c>
      <c r="P253" s="90" t="s">
        <v>964</v>
      </c>
      <c r="Q253" s="90">
        <v>80</v>
      </c>
      <c r="R253" s="90">
        <v>25910</v>
      </c>
      <c r="S253" s="130">
        <v>4700</v>
      </c>
      <c r="T253" s="90">
        <f t="shared" si="12"/>
        <v>21210</v>
      </c>
      <c r="U253" s="92">
        <f t="shared" si="13"/>
        <v>19281.81818181818</v>
      </c>
      <c r="V253" s="92">
        <f t="shared" si="14"/>
        <v>385636363.63636357</v>
      </c>
      <c r="W253" s="92">
        <f t="shared" si="15"/>
        <v>38563636.36363636</v>
      </c>
      <c r="Y253" s="115"/>
    </row>
    <row r="254" spans="1:25" s="94" customFormat="1" ht="30" customHeight="1">
      <c r="A254" s="85">
        <v>244</v>
      </c>
      <c r="B254" s="86" t="s">
        <v>412</v>
      </c>
      <c r="C254" s="127" t="s">
        <v>43</v>
      </c>
      <c r="D254" s="127" t="s">
        <v>51</v>
      </c>
      <c r="E254" s="127" t="s">
        <v>52</v>
      </c>
      <c r="F254" s="117" t="s">
        <v>414</v>
      </c>
      <c r="G254" s="88">
        <v>46218</v>
      </c>
      <c r="H254" s="87" t="s">
        <v>1467</v>
      </c>
      <c r="I254" s="88" t="s">
        <v>1469</v>
      </c>
      <c r="J254" s="89" t="s">
        <v>1474</v>
      </c>
      <c r="K254" s="89" t="s">
        <v>1476</v>
      </c>
      <c r="L254" s="89" t="s">
        <v>1407</v>
      </c>
      <c r="M254" s="118"/>
      <c r="N254" s="90">
        <v>40000</v>
      </c>
      <c r="O254" s="91">
        <v>46211</v>
      </c>
      <c r="P254" s="90" t="s">
        <v>964</v>
      </c>
      <c r="Q254" s="90">
        <v>80</v>
      </c>
      <c r="R254" s="90">
        <v>25400</v>
      </c>
      <c r="S254" s="130">
        <v>4900</v>
      </c>
      <c r="T254" s="90">
        <f t="shared" si="12"/>
        <v>20500</v>
      </c>
      <c r="U254" s="92">
        <f t="shared" si="13"/>
        <v>18636.363636363632</v>
      </c>
      <c r="V254" s="92">
        <f t="shared" si="14"/>
        <v>745454545.45454538</v>
      </c>
      <c r="W254" s="92">
        <f t="shared" si="15"/>
        <v>74545454.545454547</v>
      </c>
      <c r="Y254" s="115"/>
    </row>
    <row r="255" spans="1:25" s="94" customFormat="1" ht="30" customHeight="1">
      <c r="A255" s="85">
        <v>245</v>
      </c>
      <c r="B255" s="86" t="s">
        <v>412</v>
      </c>
      <c r="C255" s="127" t="s">
        <v>43</v>
      </c>
      <c r="D255" s="127" t="s">
        <v>51</v>
      </c>
      <c r="E255" s="127" t="s">
        <v>52</v>
      </c>
      <c r="F255" s="117" t="s">
        <v>414</v>
      </c>
      <c r="G255" s="88">
        <v>46218</v>
      </c>
      <c r="H255" s="87" t="s">
        <v>1468</v>
      </c>
      <c r="I255" s="88" t="s">
        <v>1470</v>
      </c>
      <c r="J255" s="89" t="s">
        <v>1475</v>
      </c>
      <c r="K255" s="89" t="s">
        <v>1476</v>
      </c>
      <c r="L255" s="89" t="s">
        <v>1407</v>
      </c>
      <c r="M255" s="118"/>
      <c r="N255" s="90">
        <v>20000</v>
      </c>
      <c r="O255" s="91">
        <v>46211</v>
      </c>
      <c r="P255" s="90" t="s">
        <v>964</v>
      </c>
      <c r="Q255" s="90">
        <v>80</v>
      </c>
      <c r="R255" s="90">
        <v>25400</v>
      </c>
      <c r="S255" s="130">
        <v>4900</v>
      </c>
      <c r="T255" s="90">
        <f t="shared" si="12"/>
        <v>20500</v>
      </c>
      <c r="U255" s="92">
        <f t="shared" si="13"/>
        <v>18636.363636363632</v>
      </c>
      <c r="V255" s="92">
        <f t="shared" si="14"/>
        <v>372727272.72727269</v>
      </c>
      <c r="W255" s="92">
        <f t="shared" si="15"/>
        <v>37272727.272727273</v>
      </c>
      <c r="Y255" s="115"/>
    </row>
    <row r="256" spans="1:25" s="94" customFormat="1" ht="30" customHeight="1">
      <c r="A256" s="85">
        <v>246</v>
      </c>
      <c r="B256" s="86" t="s">
        <v>50</v>
      </c>
      <c r="C256" s="127" t="s">
        <v>43</v>
      </c>
      <c r="D256" s="127" t="s">
        <v>51</v>
      </c>
      <c r="E256" s="127" t="s">
        <v>52</v>
      </c>
      <c r="F256" s="117" t="s">
        <v>49</v>
      </c>
      <c r="G256" s="88">
        <v>46218</v>
      </c>
      <c r="H256" s="87" t="s">
        <v>1477</v>
      </c>
      <c r="I256" s="88" t="s">
        <v>1471</v>
      </c>
      <c r="J256" s="89" t="s">
        <v>1478</v>
      </c>
      <c r="K256" s="89" t="s">
        <v>702</v>
      </c>
      <c r="L256" s="89" t="s">
        <v>1407</v>
      </c>
      <c r="M256" s="118" t="s">
        <v>1479</v>
      </c>
      <c r="N256" s="90">
        <v>20000</v>
      </c>
      <c r="O256" s="91">
        <v>46211</v>
      </c>
      <c r="P256" s="90" t="s">
        <v>964</v>
      </c>
      <c r="Q256" s="90">
        <v>80</v>
      </c>
      <c r="R256" s="90">
        <v>25400</v>
      </c>
      <c r="S256" s="130">
        <v>4800</v>
      </c>
      <c r="T256" s="90">
        <f t="shared" si="12"/>
        <v>20600</v>
      </c>
      <c r="U256" s="92">
        <f t="shared" si="13"/>
        <v>18727.272727272724</v>
      </c>
      <c r="V256" s="92">
        <f t="shared" si="14"/>
        <v>374545454.5454545</v>
      </c>
      <c r="W256" s="92">
        <f t="shared" si="15"/>
        <v>37454545.454545453</v>
      </c>
      <c r="Y256" s="115"/>
    </row>
    <row r="257" spans="1:25" s="94" customFormat="1" ht="30" customHeight="1">
      <c r="A257" s="85">
        <v>247</v>
      </c>
      <c r="B257" s="86" t="s">
        <v>50</v>
      </c>
      <c r="C257" s="127" t="s">
        <v>43</v>
      </c>
      <c r="D257" s="127" t="s">
        <v>51</v>
      </c>
      <c r="E257" s="127" t="s">
        <v>52</v>
      </c>
      <c r="F257" s="117" t="s">
        <v>49</v>
      </c>
      <c r="G257" s="88">
        <v>46219</v>
      </c>
      <c r="H257" s="87" t="s">
        <v>1521</v>
      </c>
      <c r="I257" s="88" t="s">
        <v>1517</v>
      </c>
      <c r="J257" s="89" t="s">
        <v>1523</v>
      </c>
      <c r="K257" s="89" t="s">
        <v>1525</v>
      </c>
      <c r="L257" s="89" t="s">
        <v>1492</v>
      </c>
      <c r="M257" s="118" t="s">
        <v>1526</v>
      </c>
      <c r="N257" s="90">
        <v>4000</v>
      </c>
      <c r="O257" s="91">
        <v>46211</v>
      </c>
      <c r="P257" s="90" t="s">
        <v>964</v>
      </c>
      <c r="Q257" s="90">
        <v>80</v>
      </c>
      <c r="R257" s="90">
        <v>25400</v>
      </c>
      <c r="S257" s="130">
        <v>4800</v>
      </c>
      <c r="T257" s="90">
        <f t="shared" si="12"/>
        <v>20600</v>
      </c>
      <c r="U257" s="92">
        <f t="shared" si="13"/>
        <v>18727.272727272724</v>
      </c>
      <c r="V257" s="92">
        <f t="shared" si="14"/>
        <v>74909090.909090891</v>
      </c>
      <c r="W257" s="92">
        <f t="shared" si="15"/>
        <v>7490909.0909090899</v>
      </c>
      <c r="Y257" s="115"/>
    </row>
    <row r="258" spans="1:25" s="94" customFormat="1" ht="30" customHeight="1">
      <c r="A258" s="85">
        <v>248</v>
      </c>
      <c r="B258" s="86" t="s">
        <v>50</v>
      </c>
      <c r="C258" s="127">
        <v>91</v>
      </c>
      <c r="D258" s="127" t="s">
        <v>51</v>
      </c>
      <c r="E258" s="127" t="s">
        <v>52</v>
      </c>
      <c r="F258" s="117" t="s">
        <v>49</v>
      </c>
      <c r="G258" s="88">
        <v>46219</v>
      </c>
      <c r="H258" s="87" t="s">
        <v>1522</v>
      </c>
      <c r="I258" s="88" t="s">
        <v>1518</v>
      </c>
      <c r="J258" s="89" t="s">
        <v>1524</v>
      </c>
      <c r="K258" s="89" t="s">
        <v>1525</v>
      </c>
      <c r="L258" s="89" t="s">
        <v>1492</v>
      </c>
      <c r="M258" s="118" t="s">
        <v>1526</v>
      </c>
      <c r="N258" s="90">
        <v>4000</v>
      </c>
      <c r="O258" s="91">
        <v>46211</v>
      </c>
      <c r="P258" s="90" t="s">
        <v>964</v>
      </c>
      <c r="Q258" s="90">
        <v>80</v>
      </c>
      <c r="R258" s="90">
        <v>29470</v>
      </c>
      <c r="S258" s="130">
        <v>3100</v>
      </c>
      <c r="T258" s="90">
        <f t="shared" si="12"/>
        <v>26370</v>
      </c>
      <c r="U258" s="92">
        <f t="shared" si="13"/>
        <v>23972.727272727268</v>
      </c>
      <c r="V258" s="92">
        <f t="shared" si="14"/>
        <v>95890909.090909079</v>
      </c>
      <c r="W258" s="92">
        <f t="shared" si="15"/>
        <v>9589090.9090909082</v>
      </c>
      <c r="Y258" s="115"/>
    </row>
    <row r="259" spans="1:25" s="94" customFormat="1" ht="30" customHeight="1">
      <c r="A259" s="85">
        <v>249</v>
      </c>
      <c r="B259" s="86" t="s">
        <v>50</v>
      </c>
      <c r="C259" s="127" t="s">
        <v>43</v>
      </c>
      <c r="D259" s="127" t="s">
        <v>51</v>
      </c>
      <c r="E259" s="127" t="s">
        <v>52</v>
      </c>
      <c r="F259" s="117" t="s">
        <v>49</v>
      </c>
      <c r="G259" s="88">
        <v>46219</v>
      </c>
      <c r="H259" s="87" t="s">
        <v>1527</v>
      </c>
      <c r="I259" s="88" t="s">
        <v>1519</v>
      </c>
      <c r="J259" s="89" t="s">
        <v>1528</v>
      </c>
      <c r="K259" s="89" t="s">
        <v>1529</v>
      </c>
      <c r="L259" s="89" t="s">
        <v>1492</v>
      </c>
      <c r="M259" s="118" t="s">
        <v>1530</v>
      </c>
      <c r="N259" s="90">
        <v>50000</v>
      </c>
      <c r="O259" s="91">
        <v>46211</v>
      </c>
      <c r="P259" s="90" t="s">
        <v>964</v>
      </c>
      <c r="Q259" s="90">
        <v>80</v>
      </c>
      <c r="R259" s="90">
        <v>25400</v>
      </c>
      <c r="S259" s="130">
        <v>4800</v>
      </c>
      <c r="T259" s="90">
        <f t="shared" si="12"/>
        <v>20600</v>
      </c>
      <c r="U259" s="92">
        <f t="shared" si="13"/>
        <v>18727.272727272724</v>
      </c>
      <c r="V259" s="92">
        <f t="shared" si="14"/>
        <v>936363636.36363626</v>
      </c>
      <c r="W259" s="92">
        <f t="shared" si="15"/>
        <v>93636363.636363626</v>
      </c>
      <c r="Y259" s="115"/>
    </row>
    <row r="260" spans="1:25" s="94" customFormat="1" ht="30" customHeight="1">
      <c r="A260" s="85">
        <v>250</v>
      </c>
      <c r="B260" s="86" t="s">
        <v>50</v>
      </c>
      <c r="C260" s="127" t="s">
        <v>43</v>
      </c>
      <c r="D260" s="127" t="s">
        <v>51</v>
      </c>
      <c r="E260" s="127" t="s">
        <v>54</v>
      </c>
      <c r="F260" s="117" t="s">
        <v>49</v>
      </c>
      <c r="G260" s="88">
        <v>46218</v>
      </c>
      <c r="H260" s="87" t="s">
        <v>1531</v>
      </c>
      <c r="I260" s="88" t="s">
        <v>1520</v>
      </c>
      <c r="J260" s="89" t="s">
        <v>2511</v>
      </c>
      <c r="K260" s="89" t="s">
        <v>1532</v>
      </c>
      <c r="L260" s="89" t="s">
        <v>1365</v>
      </c>
      <c r="M260" s="118" t="s">
        <v>1533</v>
      </c>
      <c r="N260" s="90">
        <v>40000</v>
      </c>
      <c r="O260" s="91">
        <v>46211</v>
      </c>
      <c r="P260" s="90" t="s">
        <v>964</v>
      </c>
      <c r="Q260" s="90">
        <v>80</v>
      </c>
      <c r="R260" s="90">
        <v>25940</v>
      </c>
      <c r="S260" s="130">
        <v>4800</v>
      </c>
      <c r="T260" s="90">
        <f t="shared" si="12"/>
        <v>21140</v>
      </c>
      <c r="U260" s="92">
        <f t="shared" si="13"/>
        <v>19218.181818181816</v>
      </c>
      <c r="V260" s="92">
        <f t="shared" si="14"/>
        <v>768727272.72727263</v>
      </c>
      <c r="W260" s="92">
        <f t="shared" si="15"/>
        <v>76872727.272727266</v>
      </c>
      <c r="Y260" s="115"/>
    </row>
    <row r="261" spans="1:25" s="94" customFormat="1" ht="30" customHeight="1">
      <c r="A261" s="85">
        <v>251</v>
      </c>
      <c r="B261" s="86" t="s">
        <v>1608</v>
      </c>
      <c r="C261" s="127" t="s">
        <v>43</v>
      </c>
      <c r="D261" s="127" t="s">
        <v>51</v>
      </c>
      <c r="E261" s="127" t="s">
        <v>52</v>
      </c>
      <c r="F261" s="117" t="s">
        <v>1609</v>
      </c>
      <c r="G261" s="88">
        <v>46219</v>
      </c>
      <c r="H261" s="87" t="s">
        <v>1538</v>
      </c>
      <c r="I261" s="88" t="s">
        <v>1571</v>
      </c>
      <c r="J261" s="89" t="s">
        <v>1540</v>
      </c>
      <c r="K261" s="89" t="s">
        <v>1539</v>
      </c>
      <c r="L261" s="89" t="s">
        <v>1492</v>
      </c>
      <c r="M261" s="118" t="s">
        <v>1541</v>
      </c>
      <c r="N261" s="90">
        <v>20000</v>
      </c>
      <c r="O261" s="91">
        <v>46211</v>
      </c>
      <c r="P261" s="90" t="s">
        <v>964</v>
      </c>
      <c r="Q261" s="90">
        <v>80</v>
      </c>
      <c r="R261" s="90">
        <v>25400</v>
      </c>
      <c r="S261" s="130">
        <v>4400</v>
      </c>
      <c r="T261" s="90">
        <f t="shared" si="12"/>
        <v>21000</v>
      </c>
      <c r="U261" s="92">
        <f t="shared" si="13"/>
        <v>19090.909090909088</v>
      </c>
      <c r="V261" s="92">
        <f t="shared" si="14"/>
        <v>381818181.81818175</v>
      </c>
      <c r="W261" s="92">
        <f t="shared" si="15"/>
        <v>38181818.18181818</v>
      </c>
      <c r="Y261" s="115"/>
    </row>
    <row r="262" spans="1:25" s="94" customFormat="1" ht="30" customHeight="1">
      <c r="A262" s="85">
        <v>252</v>
      </c>
      <c r="B262" s="86" t="s">
        <v>50</v>
      </c>
      <c r="C262" s="127" t="s">
        <v>43</v>
      </c>
      <c r="D262" s="127" t="s">
        <v>51</v>
      </c>
      <c r="E262" s="127" t="s">
        <v>52</v>
      </c>
      <c r="F262" s="117" t="s">
        <v>49</v>
      </c>
      <c r="G262" s="88">
        <v>46219</v>
      </c>
      <c r="H262" s="87" t="s">
        <v>1550</v>
      </c>
      <c r="I262" s="88" t="s">
        <v>1570</v>
      </c>
      <c r="J262" s="89" t="s">
        <v>1552</v>
      </c>
      <c r="K262" s="89" t="s">
        <v>1551</v>
      </c>
      <c r="L262" s="89" t="s">
        <v>1492</v>
      </c>
      <c r="M262" s="118" t="s">
        <v>1553</v>
      </c>
      <c r="N262" s="90">
        <v>40000</v>
      </c>
      <c r="O262" s="91">
        <v>46218</v>
      </c>
      <c r="P262" s="90" t="s">
        <v>1549</v>
      </c>
      <c r="Q262" s="90">
        <v>80</v>
      </c>
      <c r="R262" s="90">
        <v>28320</v>
      </c>
      <c r="S262" s="130">
        <v>5300</v>
      </c>
      <c r="T262" s="90">
        <f t="shared" si="12"/>
        <v>23020</v>
      </c>
      <c r="U262" s="92">
        <f t="shared" si="13"/>
        <v>20927.272727272724</v>
      </c>
      <c r="V262" s="92">
        <f t="shared" si="14"/>
        <v>837090909.090909</v>
      </c>
      <c r="W262" s="92">
        <f t="shared" si="15"/>
        <v>83709090.909090906</v>
      </c>
      <c r="Y262" s="115"/>
    </row>
    <row r="263" spans="1:25" s="94" customFormat="1" ht="30" customHeight="1">
      <c r="A263" s="85">
        <v>253</v>
      </c>
      <c r="B263" s="86" t="s">
        <v>50</v>
      </c>
      <c r="C263" s="127" t="s">
        <v>43</v>
      </c>
      <c r="D263" s="127" t="s">
        <v>51</v>
      </c>
      <c r="E263" s="127" t="s">
        <v>52</v>
      </c>
      <c r="F263" s="117" t="s">
        <v>49</v>
      </c>
      <c r="G263" s="88">
        <v>46219</v>
      </c>
      <c r="H263" s="87" t="s">
        <v>1554</v>
      </c>
      <c r="I263" s="88" t="s">
        <v>1572</v>
      </c>
      <c r="J263" s="89" t="s">
        <v>1556</v>
      </c>
      <c r="K263" s="89" t="s">
        <v>1555</v>
      </c>
      <c r="L263" s="89" t="s">
        <v>1492</v>
      </c>
      <c r="M263" s="118" t="s">
        <v>1557</v>
      </c>
      <c r="N263" s="90">
        <v>20000</v>
      </c>
      <c r="O263" s="91">
        <v>46218</v>
      </c>
      <c r="P263" s="90" t="s">
        <v>1549</v>
      </c>
      <c r="Q263" s="90">
        <v>80</v>
      </c>
      <c r="R263" s="90">
        <v>28270</v>
      </c>
      <c r="S263" s="130">
        <v>5300</v>
      </c>
      <c r="T263" s="90">
        <f t="shared" si="12"/>
        <v>22970</v>
      </c>
      <c r="U263" s="92">
        <f t="shared" si="13"/>
        <v>20881.81818181818</v>
      </c>
      <c r="V263" s="92">
        <f t="shared" si="14"/>
        <v>417636363.63636357</v>
      </c>
      <c r="W263" s="92">
        <f t="shared" si="15"/>
        <v>41763636.36363636</v>
      </c>
      <c r="Y263" s="115"/>
    </row>
    <row r="264" spans="1:25" s="94" customFormat="1" ht="30" customHeight="1">
      <c r="A264" s="85">
        <v>254</v>
      </c>
      <c r="B264" s="86" t="s">
        <v>50</v>
      </c>
      <c r="C264" s="127" t="s">
        <v>43</v>
      </c>
      <c r="D264" s="127" t="s">
        <v>51</v>
      </c>
      <c r="E264" s="127" t="s">
        <v>52</v>
      </c>
      <c r="F264" s="117" t="s">
        <v>49</v>
      </c>
      <c r="G264" s="88">
        <v>46219</v>
      </c>
      <c r="H264" s="87" t="s">
        <v>1591</v>
      </c>
      <c r="I264" s="88" t="s">
        <v>1573</v>
      </c>
      <c r="J264" s="89" t="s">
        <v>1574</v>
      </c>
      <c r="K264" s="89" t="s">
        <v>1575</v>
      </c>
      <c r="L264" s="89" t="s">
        <v>1492</v>
      </c>
      <c r="M264" s="118" t="s">
        <v>1576</v>
      </c>
      <c r="N264" s="90">
        <v>12000</v>
      </c>
      <c r="O264" s="91">
        <v>46218</v>
      </c>
      <c r="P264" s="90" t="s">
        <v>1577</v>
      </c>
      <c r="Q264" s="90">
        <v>80</v>
      </c>
      <c r="R264" s="90">
        <v>28270</v>
      </c>
      <c r="S264" s="130">
        <v>1183</v>
      </c>
      <c r="T264" s="90">
        <f t="shared" si="12"/>
        <v>27087</v>
      </c>
      <c r="U264" s="92">
        <f t="shared" si="13"/>
        <v>24624.545454545452</v>
      </c>
      <c r="V264" s="92">
        <f t="shared" si="14"/>
        <v>295494545.45454544</v>
      </c>
      <c r="W264" s="92">
        <f t="shared" si="15"/>
        <v>29549454.545454547</v>
      </c>
      <c r="Y264" s="115"/>
    </row>
    <row r="265" spans="1:25" s="94" customFormat="1" ht="30" customHeight="1">
      <c r="A265" s="85">
        <v>255</v>
      </c>
      <c r="B265" s="86" t="s">
        <v>50</v>
      </c>
      <c r="C265" s="127" t="s">
        <v>43</v>
      </c>
      <c r="D265" s="127" t="s">
        <v>51</v>
      </c>
      <c r="E265" s="127" t="s">
        <v>54</v>
      </c>
      <c r="F265" s="117" t="s">
        <v>49</v>
      </c>
      <c r="G265" s="88">
        <v>46220</v>
      </c>
      <c r="H265" s="87" t="s">
        <v>1594</v>
      </c>
      <c r="I265" s="88" t="s">
        <v>1592</v>
      </c>
      <c r="J265" s="89" t="s">
        <v>2512</v>
      </c>
      <c r="K265" s="89" t="s">
        <v>99</v>
      </c>
      <c r="L265" s="89" t="s">
        <v>1585</v>
      </c>
      <c r="M265" s="118" t="s">
        <v>1593</v>
      </c>
      <c r="N265" s="90">
        <v>20000</v>
      </c>
      <c r="O265" s="91">
        <v>46218</v>
      </c>
      <c r="P265" s="90" t="s">
        <v>1577</v>
      </c>
      <c r="Q265" s="90">
        <v>80</v>
      </c>
      <c r="R265" s="90">
        <v>28820</v>
      </c>
      <c r="S265" s="130">
        <v>5300</v>
      </c>
      <c r="T265" s="90">
        <f t="shared" si="12"/>
        <v>23520</v>
      </c>
      <c r="U265" s="92">
        <f t="shared" si="13"/>
        <v>21381.81818181818</v>
      </c>
      <c r="V265" s="92">
        <f t="shared" si="14"/>
        <v>427636363.63636357</v>
      </c>
      <c r="W265" s="92">
        <f t="shared" si="15"/>
        <v>42763636.36363636</v>
      </c>
      <c r="Y265" s="115"/>
    </row>
    <row r="266" spans="1:25" s="94" customFormat="1" ht="30" customHeight="1">
      <c r="A266" s="85">
        <v>256</v>
      </c>
      <c r="B266" s="86" t="s">
        <v>50</v>
      </c>
      <c r="C266" s="127" t="s">
        <v>43</v>
      </c>
      <c r="D266" s="127" t="s">
        <v>51</v>
      </c>
      <c r="E266" s="127" t="s">
        <v>54</v>
      </c>
      <c r="F266" s="117" t="s">
        <v>49</v>
      </c>
      <c r="G266" s="88">
        <v>46220</v>
      </c>
      <c r="H266" s="87" t="s">
        <v>1595</v>
      </c>
      <c r="I266" s="88" t="s">
        <v>1596</v>
      </c>
      <c r="J266" s="89" t="s">
        <v>2513</v>
      </c>
      <c r="K266" s="89" t="s">
        <v>1600</v>
      </c>
      <c r="L266" s="89" t="s">
        <v>1585</v>
      </c>
      <c r="M266" s="118" t="s">
        <v>1601</v>
      </c>
      <c r="N266" s="90">
        <v>12000</v>
      </c>
      <c r="O266" s="91">
        <v>46218</v>
      </c>
      <c r="P266" s="90" t="s">
        <v>1577</v>
      </c>
      <c r="Q266" s="90">
        <v>80</v>
      </c>
      <c r="R266" s="90">
        <v>28860</v>
      </c>
      <c r="S266" s="130">
        <v>5300</v>
      </c>
      <c r="T266" s="90">
        <f t="shared" si="12"/>
        <v>23560</v>
      </c>
      <c r="U266" s="92">
        <f t="shared" si="13"/>
        <v>21418.181818181816</v>
      </c>
      <c r="V266" s="92">
        <f t="shared" si="14"/>
        <v>257018181.81818178</v>
      </c>
      <c r="W266" s="92">
        <f t="shared" si="15"/>
        <v>25701818.18181818</v>
      </c>
      <c r="Y266" s="115"/>
    </row>
    <row r="267" spans="1:25" s="94" customFormat="1" ht="30" customHeight="1">
      <c r="A267" s="85">
        <v>257</v>
      </c>
      <c r="B267" s="86" t="s">
        <v>50</v>
      </c>
      <c r="C267" s="127" t="s">
        <v>43</v>
      </c>
      <c r="D267" s="127" t="s">
        <v>51</v>
      </c>
      <c r="E267" s="127" t="s">
        <v>54</v>
      </c>
      <c r="F267" s="117" t="s">
        <v>49</v>
      </c>
      <c r="G267" s="88">
        <v>46220</v>
      </c>
      <c r="H267" s="87" t="s">
        <v>1602</v>
      </c>
      <c r="I267" s="88" t="s">
        <v>1597</v>
      </c>
      <c r="J267" s="89" t="s">
        <v>2514</v>
      </c>
      <c r="K267" s="89" t="s">
        <v>1603</v>
      </c>
      <c r="L267" s="89" t="s">
        <v>1585</v>
      </c>
      <c r="M267" s="118" t="s">
        <v>1604</v>
      </c>
      <c r="N267" s="90">
        <v>8000</v>
      </c>
      <c r="O267" s="91">
        <v>46218</v>
      </c>
      <c r="P267" s="90" t="s">
        <v>1577</v>
      </c>
      <c r="Q267" s="90">
        <v>80</v>
      </c>
      <c r="R267" s="90">
        <v>28950</v>
      </c>
      <c r="S267" s="130">
        <v>5300</v>
      </c>
      <c r="T267" s="90">
        <f t="shared" ref="T267:T330" si="16">+R267-S267</f>
        <v>23650</v>
      </c>
      <c r="U267" s="92">
        <f t="shared" ref="U267:U330" si="17">+T267*0.909090909090909</f>
        <v>21499.999999999996</v>
      </c>
      <c r="V267" s="92">
        <f t="shared" ref="V267:V330" si="18">+N267*T267*0.909090909090909</f>
        <v>171999999.99999997</v>
      </c>
      <c r="W267" s="92">
        <f t="shared" ref="W267:W330" si="19">+V267*10%</f>
        <v>17199999.999999996</v>
      </c>
      <c r="Y267" s="115"/>
    </row>
    <row r="268" spans="1:25" s="94" customFormat="1" ht="30" customHeight="1">
      <c r="A268" s="85">
        <v>258</v>
      </c>
      <c r="B268" s="86" t="s">
        <v>50</v>
      </c>
      <c r="C268" s="127" t="s">
        <v>43</v>
      </c>
      <c r="D268" s="127" t="s">
        <v>51</v>
      </c>
      <c r="E268" s="127" t="s">
        <v>61</v>
      </c>
      <c r="F268" s="117" t="s">
        <v>49</v>
      </c>
      <c r="G268" s="88">
        <v>46220</v>
      </c>
      <c r="H268" s="87" t="s">
        <v>1605</v>
      </c>
      <c r="I268" s="88" t="s">
        <v>1598</v>
      </c>
      <c r="J268" s="89" t="s">
        <v>2442</v>
      </c>
      <c r="K268" s="89" t="s">
        <v>1606</v>
      </c>
      <c r="L268" s="89" t="s">
        <v>1585</v>
      </c>
      <c r="M268" s="118" t="s">
        <v>1607</v>
      </c>
      <c r="N268" s="90">
        <v>20000</v>
      </c>
      <c r="O268" s="91">
        <v>46218</v>
      </c>
      <c r="P268" s="90" t="s">
        <v>1577</v>
      </c>
      <c r="Q268" s="90">
        <v>80</v>
      </c>
      <c r="R268" s="90">
        <v>28740</v>
      </c>
      <c r="S268" s="130">
        <v>5300</v>
      </c>
      <c r="T268" s="90">
        <f t="shared" si="16"/>
        <v>23440</v>
      </c>
      <c r="U268" s="92">
        <f t="shared" si="17"/>
        <v>21309.090909090904</v>
      </c>
      <c r="V268" s="92">
        <f t="shared" si="18"/>
        <v>426181818.18181813</v>
      </c>
      <c r="W268" s="92">
        <f t="shared" si="19"/>
        <v>42618181.818181813</v>
      </c>
      <c r="Y268" s="115"/>
    </row>
    <row r="269" spans="1:25" s="94" customFormat="1" ht="30" customHeight="1">
      <c r="A269" s="85">
        <v>259</v>
      </c>
      <c r="B269" s="86" t="s">
        <v>1608</v>
      </c>
      <c r="C269" s="127" t="s">
        <v>43</v>
      </c>
      <c r="D269" s="127" t="s">
        <v>51</v>
      </c>
      <c r="E269" s="127" t="s">
        <v>52</v>
      </c>
      <c r="F269" s="117" t="s">
        <v>1609</v>
      </c>
      <c r="G269" s="88">
        <v>46220</v>
      </c>
      <c r="H269" s="87" t="s">
        <v>1610</v>
      </c>
      <c r="I269" s="88" t="s">
        <v>1599</v>
      </c>
      <c r="J269" s="89" t="s">
        <v>1611</v>
      </c>
      <c r="K269" s="89" t="s">
        <v>1612</v>
      </c>
      <c r="L269" s="89" t="s">
        <v>1585</v>
      </c>
      <c r="M269" s="118" t="s">
        <v>1541</v>
      </c>
      <c r="N269" s="90">
        <v>5000</v>
      </c>
      <c r="O269" s="91">
        <v>46218</v>
      </c>
      <c r="P269" s="90" t="s">
        <v>1577</v>
      </c>
      <c r="Q269" s="90">
        <v>80</v>
      </c>
      <c r="R269" s="90">
        <v>25400</v>
      </c>
      <c r="S269" s="130">
        <v>4400</v>
      </c>
      <c r="T269" s="90">
        <f t="shared" si="16"/>
        <v>21000</v>
      </c>
      <c r="U269" s="92">
        <f t="shared" si="17"/>
        <v>19090.909090909088</v>
      </c>
      <c r="V269" s="92">
        <f t="shared" si="18"/>
        <v>95454545.454545438</v>
      </c>
      <c r="W269" s="92">
        <f t="shared" si="19"/>
        <v>9545454.5454545449</v>
      </c>
      <c r="Y269" s="115"/>
    </row>
    <row r="270" spans="1:25" s="94" customFormat="1" ht="30" customHeight="1">
      <c r="A270" s="85">
        <v>260</v>
      </c>
      <c r="B270" s="86" t="s">
        <v>50</v>
      </c>
      <c r="C270" s="127" t="s">
        <v>43</v>
      </c>
      <c r="D270" s="127" t="s">
        <v>51</v>
      </c>
      <c r="E270" s="127" t="s">
        <v>52</v>
      </c>
      <c r="F270" s="117" t="s">
        <v>49</v>
      </c>
      <c r="G270" s="88">
        <v>46220</v>
      </c>
      <c r="H270" s="87" t="s">
        <v>1613</v>
      </c>
      <c r="I270" s="88" t="s">
        <v>1614</v>
      </c>
      <c r="J270" s="89" t="s">
        <v>1620</v>
      </c>
      <c r="K270" s="89" t="s">
        <v>1621</v>
      </c>
      <c r="L270" s="89" t="s">
        <v>1585</v>
      </c>
      <c r="M270" s="118" t="s">
        <v>1622</v>
      </c>
      <c r="N270" s="90">
        <v>20000</v>
      </c>
      <c r="O270" s="91">
        <v>46218</v>
      </c>
      <c r="P270" s="90" t="s">
        <v>1577</v>
      </c>
      <c r="Q270" s="90">
        <v>80</v>
      </c>
      <c r="R270" s="90">
        <v>28270</v>
      </c>
      <c r="S270" s="130">
        <v>5300</v>
      </c>
      <c r="T270" s="90">
        <f t="shared" si="16"/>
        <v>22970</v>
      </c>
      <c r="U270" s="92">
        <f t="shared" si="17"/>
        <v>20881.81818181818</v>
      </c>
      <c r="V270" s="92">
        <f t="shared" si="18"/>
        <v>417636363.63636357</v>
      </c>
      <c r="W270" s="92">
        <f t="shared" si="19"/>
        <v>41763636.36363636</v>
      </c>
      <c r="Y270" s="115"/>
    </row>
    <row r="271" spans="1:25" s="94" customFormat="1" ht="30" customHeight="1">
      <c r="A271" s="85">
        <v>261</v>
      </c>
      <c r="B271" s="86" t="s">
        <v>50</v>
      </c>
      <c r="C271" s="127" t="s">
        <v>43</v>
      </c>
      <c r="D271" s="127" t="s">
        <v>51</v>
      </c>
      <c r="E271" s="127" t="s">
        <v>54</v>
      </c>
      <c r="F271" s="117" t="s">
        <v>49</v>
      </c>
      <c r="G271" s="88">
        <v>46220</v>
      </c>
      <c r="H271" s="87" t="s">
        <v>1623</v>
      </c>
      <c r="I271" s="88" t="s">
        <v>1615</v>
      </c>
      <c r="J271" s="89" t="s">
        <v>2515</v>
      </c>
      <c r="K271" s="89" t="s">
        <v>1624</v>
      </c>
      <c r="L271" s="89" t="s">
        <v>1585</v>
      </c>
      <c r="M271" s="118" t="s">
        <v>1625</v>
      </c>
      <c r="N271" s="90">
        <v>8000</v>
      </c>
      <c r="O271" s="91">
        <v>46218</v>
      </c>
      <c r="P271" s="90" t="s">
        <v>1577</v>
      </c>
      <c r="Q271" s="90">
        <v>80</v>
      </c>
      <c r="R271" s="90">
        <v>28950</v>
      </c>
      <c r="S271" s="130">
        <v>5200</v>
      </c>
      <c r="T271" s="90">
        <f t="shared" si="16"/>
        <v>23750</v>
      </c>
      <c r="U271" s="92">
        <f t="shared" si="17"/>
        <v>21590.909090909088</v>
      </c>
      <c r="V271" s="92">
        <f t="shared" si="18"/>
        <v>172727272.72727269</v>
      </c>
      <c r="W271" s="92">
        <f t="shared" si="19"/>
        <v>17272727.27272727</v>
      </c>
      <c r="Y271" s="115"/>
    </row>
    <row r="272" spans="1:25" s="94" customFormat="1" ht="30" customHeight="1">
      <c r="A272" s="85">
        <v>262</v>
      </c>
      <c r="B272" s="86" t="s">
        <v>50</v>
      </c>
      <c r="C272" s="127" t="s">
        <v>43</v>
      </c>
      <c r="D272" s="127" t="s">
        <v>51</v>
      </c>
      <c r="E272" s="127" t="s">
        <v>54</v>
      </c>
      <c r="F272" s="117" t="s">
        <v>49</v>
      </c>
      <c r="G272" s="88">
        <v>46220</v>
      </c>
      <c r="H272" s="87" t="s">
        <v>1626</v>
      </c>
      <c r="I272" s="88" t="s">
        <v>1616</v>
      </c>
      <c r="J272" s="89" t="s">
        <v>2517</v>
      </c>
      <c r="K272" s="89" t="s">
        <v>1627</v>
      </c>
      <c r="L272" s="89" t="s">
        <v>1585</v>
      </c>
      <c r="M272" s="118" t="s">
        <v>1628</v>
      </c>
      <c r="N272" s="90">
        <v>4000</v>
      </c>
      <c r="O272" s="91">
        <v>46218</v>
      </c>
      <c r="P272" s="90" t="s">
        <v>1577</v>
      </c>
      <c r="Q272" s="90">
        <v>80</v>
      </c>
      <c r="R272" s="90">
        <v>28760</v>
      </c>
      <c r="S272" s="130">
        <v>5200</v>
      </c>
      <c r="T272" s="90">
        <f t="shared" si="16"/>
        <v>23560</v>
      </c>
      <c r="U272" s="92">
        <f t="shared" si="17"/>
        <v>21418.181818181816</v>
      </c>
      <c r="V272" s="92">
        <f t="shared" si="18"/>
        <v>85672727.272727266</v>
      </c>
      <c r="W272" s="92">
        <f t="shared" si="19"/>
        <v>8567272.7272727266</v>
      </c>
      <c r="Y272" s="115"/>
    </row>
    <row r="273" spans="1:25" s="94" customFormat="1" ht="30" customHeight="1">
      <c r="A273" s="85">
        <v>263</v>
      </c>
      <c r="B273" s="86" t="s">
        <v>50</v>
      </c>
      <c r="C273" s="127" t="s">
        <v>43</v>
      </c>
      <c r="D273" s="127" t="s">
        <v>51</v>
      </c>
      <c r="E273" s="127" t="s">
        <v>54</v>
      </c>
      <c r="F273" s="117" t="s">
        <v>49</v>
      </c>
      <c r="G273" s="88">
        <v>46220</v>
      </c>
      <c r="H273" s="87" t="s">
        <v>1629</v>
      </c>
      <c r="I273" s="88" t="s">
        <v>1617</v>
      </c>
      <c r="J273" s="89" t="s">
        <v>2516</v>
      </c>
      <c r="K273" s="89" t="s">
        <v>1630</v>
      </c>
      <c r="L273" s="89" t="s">
        <v>1585</v>
      </c>
      <c r="M273" s="118" t="s">
        <v>1631</v>
      </c>
      <c r="N273" s="90">
        <v>4000</v>
      </c>
      <c r="O273" s="91">
        <v>46218</v>
      </c>
      <c r="P273" s="90" t="s">
        <v>1577</v>
      </c>
      <c r="Q273" s="90">
        <v>80</v>
      </c>
      <c r="R273" s="90">
        <v>28760</v>
      </c>
      <c r="S273" s="130">
        <v>5200</v>
      </c>
      <c r="T273" s="90">
        <f t="shared" si="16"/>
        <v>23560</v>
      </c>
      <c r="U273" s="92">
        <f t="shared" si="17"/>
        <v>21418.181818181816</v>
      </c>
      <c r="V273" s="92">
        <f t="shared" si="18"/>
        <v>85672727.272727266</v>
      </c>
      <c r="W273" s="92">
        <f t="shared" si="19"/>
        <v>8567272.7272727266</v>
      </c>
      <c r="Y273" s="115"/>
    </row>
    <row r="274" spans="1:25" s="94" customFormat="1" ht="30" customHeight="1">
      <c r="A274" s="85">
        <v>264</v>
      </c>
      <c r="B274" s="86" t="s">
        <v>50</v>
      </c>
      <c r="C274" s="127" t="s">
        <v>43</v>
      </c>
      <c r="D274" s="127" t="s">
        <v>51</v>
      </c>
      <c r="E274" s="127" t="s">
        <v>53</v>
      </c>
      <c r="F274" s="117" t="s">
        <v>49</v>
      </c>
      <c r="G274" s="88">
        <v>46220</v>
      </c>
      <c r="H274" s="87" t="s">
        <v>1632</v>
      </c>
      <c r="I274" s="88" t="s">
        <v>1618</v>
      </c>
      <c r="J274" s="89" t="s">
        <v>2304</v>
      </c>
      <c r="K274" s="89" t="s">
        <v>1633</v>
      </c>
      <c r="L274" s="89" t="s">
        <v>1584</v>
      </c>
      <c r="M274" s="118" t="s">
        <v>1634</v>
      </c>
      <c r="N274" s="90">
        <v>20000</v>
      </c>
      <c r="O274" s="91">
        <v>46218</v>
      </c>
      <c r="P274" s="90" t="s">
        <v>1577</v>
      </c>
      <c r="Q274" s="90">
        <v>80</v>
      </c>
      <c r="R274" s="90">
        <v>28390</v>
      </c>
      <c r="S274" s="130">
        <v>1900</v>
      </c>
      <c r="T274" s="90">
        <f t="shared" si="16"/>
        <v>26490</v>
      </c>
      <c r="U274" s="92">
        <f t="shared" si="17"/>
        <v>24081.818181818177</v>
      </c>
      <c r="V274" s="92">
        <f t="shared" si="18"/>
        <v>481636363.63636357</v>
      </c>
      <c r="W274" s="92">
        <f t="shared" si="19"/>
        <v>48163636.36363636</v>
      </c>
      <c r="Y274" s="115"/>
    </row>
    <row r="275" spans="1:25" s="94" customFormat="1" ht="30" customHeight="1">
      <c r="A275" s="85">
        <v>265</v>
      </c>
      <c r="B275" s="86" t="s">
        <v>50</v>
      </c>
      <c r="C275" s="127" t="s">
        <v>43</v>
      </c>
      <c r="D275" s="127" t="s">
        <v>51</v>
      </c>
      <c r="E275" s="127" t="s">
        <v>53</v>
      </c>
      <c r="F275" s="117" t="s">
        <v>49</v>
      </c>
      <c r="G275" s="88">
        <v>46220</v>
      </c>
      <c r="H275" s="87" t="s">
        <v>1635</v>
      </c>
      <c r="I275" s="88" t="s">
        <v>1619</v>
      </c>
      <c r="J275" s="89" t="s">
        <v>2471</v>
      </c>
      <c r="K275" s="89" t="s">
        <v>1636</v>
      </c>
      <c r="L275" s="89" t="s">
        <v>1584</v>
      </c>
      <c r="M275" s="118" t="s">
        <v>1637</v>
      </c>
      <c r="N275" s="90">
        <v>10000</v>
      </c>
      <c r="O275" s="91">
        <v>46218</v>
      </c>
      <c r="P275" s="90" t="s">
        <v>1577</v>
      </c>
      <c r="Q275" s="90">
        <v>80</v>
      </c>
      <c r="R275" s="90">
        <v>28300</v>
      </c>
      <c r="S275" s="130">
        <v>5200</v>
      </c>
      <c r="T275" s="90">
        <f t="shared" si="16"/>
        <v>23100</v>
      </c>
      <c r="U275" s="92">
        <f t="shared" si="17"/>
        <v>20999.999999999996</v>
      </c>
      <c r="V275" s="92">
        <f t="shared" si="18"/>
        <v>209999999.99999997</v>
      </c>
      <c r="W275" s="92">
        <f t="shared" si="19"/>
        <v>21000000</v>
      </c>
      <c r="Y275" s="115"/>
    </row>
    <row r="276" spans="1:25" s="94" customFormat="1" ht="30" customHeight="1">
      <c r="A276" s="85">
        <v>266</v>
      </c>
      <c r="B276" s="86" t="s">
        <v>50</v>
      </c>
      <c r="C276" s="127" t="s">
        <v>43</v>
      </c>
      <c r="D276" s="127" t="s">
        <v>51</v>
      </c>
      <c r="E276" s="127" t="s">
        <v>52</v>
      </c>
      <c r="F276" s="117" t="s">
        <v>49</v>
      </c>
      <c r="G276" s="88">
        <v>46220</v>
      </c>
      <c r="H276" s="87" t="s">
        <v>1638</v>
      </c>
      <c r="I276" s="88" t="s">
        <v>1639</v>
      </c>
      <c r="J276" s="89" t="s">
        <v>1640</v>
      </c>
      <c r="K276" s="89" t="s">
        <v>152</v>
      </c>
      <c r="L276" s="89" t="s">
        <v>1584</v>
      </c>
      <c r="M276" s="118" t="s">
        <v>1641</v>
      </c>
      <c r="N276" s="90">
        <v>20000</v>
      </c>
      <c r="O276" s="91">
        <v>46218</v>
      </c>
      <c r="P276" s="90" t="s">
        <v>1577</v>
      </c>
      <c r="Q276" s="90">
        <v>80</v>
      </c>
      <c r="R276" s="90">
        <v>28270</v>
      </c>
      <c r="S276" s="130">
        <v>5200</v>
      </c>
      <c r="T276" s="90">
        <f t="shared" si="16"/>
        <v>23070</v>
      </c>
      <c r="U276" s="92">
        <f t="shared" si="17"/>
        <v>20972.727272727268</v>
      </c>
      <c r="V276" s="92">
        <f t="shared" si="18"/>
        <v>419454545.45454538</v>
      </c>
      <c r="W276" s="92">
        <f t="shared" si="19"/>
        <v>41945454.545454539</v>
      </c>
      <c r="Y276" s="115"/>
    </row>
    <row r="277" spans="1:25" s="94" customFormat="1" ht="30" customHeight="1">
      <c r="A277" s="85">
        <v>267</v>
      </c>
      <c r="B277" s="86" t="s">
        <v>50</v>
      </c>
      <c r="C277" s="127" t="s">
        <v>43</v>
      </c>
      <c r="D277" s="127" t="s">
        <v>51</v>
      </c>
      <c r="E277" s="127" t="s">
        <v>53</v>
      </c>
      <c r="F277" s="117" t="s">
        <v>49</v>
      </c>
      <c r="G277" s="88">
        <v>46220</v>
      </c>
      <c r="H277" s="87" t="s">
        <v>1642</v>
      </c>
      <c r="I277" s="88" t="s">
        <v>1643</v>
      </c>
      <c r="J277" s="89" t="s">
        <v>2303</v>
      </c>
      <c r="K277" s="89" t="s">
        <v>159</v>
      </c>
      <c r="L277" s="89" t="s">
        <v>1584</v>
      </c>
      <c r="M277" s="118" t="s">
        <v>1644</v>
      </c>
      <c r="N277" s="90">
        <v>16000</v>
      </c>
      <c r="O277" s="91">
        <v>46218</v>
      </c>
      <c r="P277" s="90" t="s">
        <v>1577</v>
      </c>
      <c r="Q277" s="90">
        <v>80</v>
      </c>
      <c r="R277" s="90">
        <v>28300</v>
      </c>
      <c r="S277" s="130">
        <v>5300</v>
      </c>
      <c r="T277" s="90">
        <f t="shared" si="16"/>
        <v>23000</v>
      </c>
      <c r="U277" s="92">
        <f t="shared" si="17"/>
        <v>20909.090909090904</v>
      </c>
      <c r="V277" s="92">
        <f t="shared" si="18"/>
        <v>334545454.5454545</v>
      </c>
      <c r="W277" s="92">
        <f t="shared" si="19"/>
        <v>33454545.454545453</v>
      </c>
      <c r="Y277" s="115"/>
    </row>
    <row r="278" spans="1:25" s="94" customFormat="1" ht="30" customHeight="1">
      <c r="A278" s="85">
        <v>268</v>
      </c>
      <c r="B278" s="86" t="s">
        <v>50</v>
      </c>
      <c r="C278" s="127" t="s">
        <v>43</v>
      </c>
      <c r="D278" s="127" t="s">
        <v>51</v>
      </c>
      <c r="E278" s="127" t="s">
        <v>54</v>
      </c>
      <c r="F278" s="117" t="s">
        <v>49</v>
      </c>
      <c r="G278" s="88">
        <v>46220</v>
      </c>
      <c r="H278" s="87" t="s">
        <v>1662</v>
      </c>
      <c r="I278" s="88" t="s">
        <v>1663</v>
      </c>
      <c r="J278" s="89" t="s">
        <v>2518</v>
      </c>
      <c r="K278" s="89" t="s">
        <v>1664</v>
      </c>
      <c r="L278" s="89" t="s">
        <v>1585</v>
      </c>
      <c r="M278" s="118" t="s">
        <v>1665</v>
      </c>
      <c r="N278" s="90">
        <v>4000</v>
      </c>
      <c r="O278" s="91">
        <v>46218</v>
      </c>
      <c r="P278" s="90" t="s">
        <v>1577</v>
      </c>
      <c r="Q278" s="90">
        <v>80</v>
      </c>
      <c r="R278" s="90">
        <v>28760</v>
      </c>
      <c r="S278" s="130">
        <v>5200</v>
      </c>
      <c r="T278" s="90">
        <f t="shared" si="16"/>
        <v>23560</v>
      </c>
      <c r="U278" s="92">
        <f t="shared" si="17"/>
        <v>21418.181818181816</v>
      </c>
      <c r="V278" s="92">
        <f t="shared" si="18"/>
        <v>85672727.272727266</v>
      </c>
      <c r="W278" s="92">
        <f t="shared" si="19"/>
        <v>8567272.7272727266</v>
      </c>
      <c r="Y278" s="115"/>
    </row>
    <row r="279" spans="1:25" s="94" customFormat="1" ht="30" customHeight="1">
      <c r="A279" s="85">
        <v>269</v>
      </c>
      <c r="B279" s="86" t="s">
        <v>50</v>
      </c>
      <c r="C279" s="127" t="s">
        <v>43</v>
      </c>
      <c r="D279" s="127" t="s">
        <v>51</v>
      </c>
      <c r="E279" s="127" t="s">
        <v>54</v>
      </c>
      <c r="F279" s="117" t="s">
        <v>49</v>
      </c>
      <c r="G279" s="88">
        <v>46220</v>
      </c>
      <c r="H279" s="87" t="s">
        <v>1666</v>
      </c>
      <c r="I279" s="88" t="s">
        <v>1667</v>
      </c>
      <c r="J279" s="89" t="s">
        <v>2519</v>
      </c>
      <c r="K279" s="89" t="s">
        <v>175</v>
      </c>
      <c r="L279" s="89" t="s">
        <v>1585</v>
      </c>
      <c r="M279" s="118" t="s">
        <v>1669</v>
      </c>
      <c r="N279" s="90">
        <v>4000</v>
      </c>
      <c r="O279" s="91">
        <v>46218</v>
      </c>
      <c r="P279" s="90" t="s">
        <v>1577</v>
      </c>
      <c r="Q279" s="90">
        <v>80</v>
      </c>
      <c r="R279" s="90">
        <v>28950</v>
      </c>
      <c r="S279" s="130">
        <v>5100</v>
      </c>
      <c r="T279" s="90">
        <f t="shared" si="16"/>
        <v>23850</v>
      </c>
      <c r="U279" s="92">
        <f t="shared" si="17"/>
        <v>21681.81818181818</v>
      </c>
      <c r="V279" s="92">
        <f t="shared" si="18"/>
        <v>86727272.727272719</v>
      </c>
      <c r="W279" s="92">
        <f t="shared" si="19"/>
        <v>8672727.2727272715</v>
      </c>
      <c r="Y279" s="115"/>
    </row>
    <row r="280" spans="1:25" s="94" customFormat="1" ht="30" customHeight="1">
      <c r="A280" s="85">
        <v>270</v>
      </c>
      <c r="B280" s="86" t="s">
        <v>50</v>
      </c>
      <c r="C280" s="127" t="s">
        <v>43</v>
      </c>
      <c r="D280" s="127" t="s">
        <v>51</v>
      </c>
      <c r="E280" s="127" t="s">
        <v>52</v>
      </c>
      <c r="F280" s="117" t="s">
        <v>49</v>
      </c>
      <c r="G280" s="88">
        <v>46220</v>
      </c>
      <c r="H280" s="87" t="s">
        <v>1670</v>
      </c>
      <c r="I280" s="88" t="s">
        <v>1668</v>
      </c>
      <c r="J280" s="89" t="s">
        <v>1671</v>
      </c>
      <c r="K280" s="89" t="s">
        <v>1672</v>
      </c>
      <c r="L280" s="89" t="s">
        <v>1585</v>
      </c>
      <c r="M280" s="118" t="s">
        <v>1673</v>
      </c>
      <c r="N280" s="90">
        <v>5000</v>
      </c>
      <c r="O280" s="91">
        <v>46218</v>
      </c>
      <c r="P280" s="90" t="s">
        <v>1577</v>
      </c>
      <c r="Q280" s="90">
        <v>80</v>
      </c>
      <c r="R280" s="90">
        <v>28270</v>
      </c>
      <c r="S280" s="130">
        <v>5200</v>
      </c>
      <c r="T280" s="90">
        <f t="shared" si="16"/>
        <v>23070</v>
      </c>
      <c r="U280" s="92">
        <f t="shared" si="17"/>
        <v>20972.727272727268</v>
      </c>
      <c r="V280" s="92">
        <f t="shared" si="18"/>
        <v>104863636.36363634</v>
      </c>
      <c r="W280" s="92">
        <f t="shared" si="19"/>
        <v>10486363.636363635</v>
      </c>
      <c r="Y280" s="115"/>
    </row>
    <row r="281" spans="1:25" s="94" customFormat="1" ht="30" customHeight="1">
      <c r="A281" s="85">
        <v>271</v>
      </c>
      <c r="B281" s="86" t="s">
        <v>50</v>
      </c>
      <c r="C281" s="127" t="s">
        <v>43</v>
      </c>
      <c r="D281" s="127" t="s">
        <v>51</v>
      </c>
      <c r="E281" s="127" t="s">
        <v>61</v>
      </c>
      <c r="F281" s="117" t="s">
        <v>49</v>
      </c>
      <c r="G281" s="88">
        <v>46221</v>
      </c>
      <c r="H281" s="87" t="s">
        <v>2690</v>
      </c>
      <c r="I281" s="88" t="s">
        <v>2691</v>
      </c>
      <c r="J281" s="89"/>
      <c r="K281" s="89" t="s">
        <v>2692</v>
      </c>
      <c r="L281" s="89" t="s">
        <v>1678</v>
      </c>
      <c r="M281" s="118" t="s">
        <v>2693</v>
      </c>
      <c r="N281" s="90">
        <v>32000</v>
      </c>
      <c r="O281" s="91">
        <v>46218</v>
      </c>
      <c r="P281" s="90" t="s">
        <v>1577</v>
      </c>
      <c r="Q281" s="90">
        <v>80</v>
      </c>
      <c r="R281" s="90">
        <v>28730</v>
      </c>
      <c r="S281" s="130">
        <v>5200</v>
      </c>
      <c r="T281" s="90">
        <f t="shared" si="16"/>
        <v>23530</v>
      </c>
      <c r="U281" s="92">
        <f t="shared" si="17"/>
        <v>21390.909090909088</v>
      </c>
      <c r="V281" s="92">
        <f t="shared" si="18"/>
        <v>684509090.90909076</v>
      </c>
      <c r="W281" s="92">
        <f t="shared" si="19"/>
        <v>68450909.090909079</v>
      </c>
      <c r="Y281" s="115"/>
    </row>
    <row r="282" spans="1:25" s="94" customFormat="1" ht="30" customHeight="1">
      <c r="A282" s="85">
        <v>272</v>
      </c>
      <c r="B282" s="86" t="s">
        <v>1608</v>
      </c>
      <c r="C282" s="127" t="s">
        <v>43</v>
      </c>
      <c r="D282" s="127" t="s">
        <v>51</v>
      </c>
      <c r="E282" s="127" t="s">
        <v>52</v>
      </c>
      <c r="F282" s="117" t="s">
        <v>1609</v>
      </c>
      <c r="G282" s="88">
        <v>46221</v>
      </c>
      <c r="H282" s="87" t="s">
        <v>1674</v>
      </c>
      <c r="I282" s="88" t="s">
        <v>1675</v>
      </c>
      <c r="J282" s="89" t="s">
        <v>1676</v>
      </c>
      <c r="K282" s="89" t="s">
        <v>1677</v>
      </c>
      <c r="L282" s="89" t="s">
        <v>1678</v>
      </c>
      <c r="M282" s="118"/>
      <c r="N282" s="90">
        <v>8000</v>
      </c>
      <c r="O282" s="91">
        <v>46218</v>
      </c>
      <c r="P282" s="90" t="s">
        <v>1577</v>
      </c>
      <c r="Q282" s="90">
        <v>80</v>
      </c>
      <c r="R282" s="90">
        <v>25400</v>
      </c>
      <c r="S282" s="130">
        <v>4400</v>
      </c>
      <c r="T282" s="90">
        <f t="shared" si="16"/>
        <v>21000</v>
      </c>
      <c r="U282" s="92">
        <f t="shared" si="17"/>
        <v>19090.909090909088</v>
      </c>
      <c r="V282" s="92">
        <f t="shared" si="18"/>
        <v>152727272.72727269</v>
      </c>
      <c r="W282" s="92">
        <f t="shared" si="19"/>
        <v>15272727.27272727</v>
      </c>
      <c r="Y282" s="115"/>
    </row>
    <row r="283" spans="1:25" s="94" customFormat="1" ht="30" customHeight="1">
      <c r="A283" s="85">
        <v>273</v>
      </c>
      <c r="B283" s="86" t="s">
        <v>1679</v>
      </c>
      <c r="C283" s="127" t="s">
        <v>43</v>
      </c>
      <c r="D283" s="127" t="s">
        <v>51</v>
      </c>
      <c r="E283" s="127" t="s">
        <v>52</v>
      </c>
      <c r="F283" s="117" t="s">
        <v>1680</v>
      </c>
      <c r="G283" s="88">
        <v>46223</v>
      </c>
      <c r="H283" s="87" t="s">
        <v>1681</v>
      </c>
      <c r="I283" s="88" t="s">
        <v>1683</v>
      </c>
      <c r="J283" s="89" t="s">
        <v>1685</v>
      </c>
      <c r="K283" s="89" t="s">
        <v>221</v>
      </c>
      <c r="L283" s="89" t="s">
        <v>1687</v>
      </c>
      <c r="M283" s="118" t="s">
        <v>1688</v>
      </c>
      <c r="N283" s="90">
        <v>60000</v>
      </c>
      <c r="O283" s="91">
        <v>46218</v>
      </c>
      <c r="P283" s="90" t="s">
        <v>1577</v>
      </c>
      <c r="Q283" s="90">
        <v>80</v>
      </c>
      <c r="R283" s="90">
        <v>25400</v>
      </c>
      <c r="S283" s="130">
        <v>4400</v>
      </c>
      <c r="T283" s="90">
        <f t="shared" si="16"/>
        <v>21000</v>
      </c>
      <c r="U283" s="92">
        <f t="shared" si="17"/>
        <v>19090.909090909088</v>
      </c>
      <c r="V283" s="92">
        <f t="shared" si="18"/>
        <v>1145454545.4545453</v>
      </c>
      <c r="W283" s="92">
        <f t="shared" si="19"/>
        <v>114545454.54545453</v>
      </c>
      <c r="Y283" s="115"/>
    </row>
    <row r="284" spans="1:25" s="94" customFormat="1" ht="30" customHeight="1">
      <c r="A284" s="85">
        <v>274</v>
      </c>
      <c r="B284" s="86" t="s">
        <v>1679</v>
      </c>
      <c r="C284" s="127" t="s">
        <v>43</v>
      </c>
      <c r="D284" s="127" t="s">
        <v>51</v>
      </c>
      <c r="E284" s="127" t="s">
        <v>52</v>
      </c>
      <c r="F284" s="117" t="s">
        <v>1680</v>
      </c>
      <c r="G284" s="88">
        <v>46223</v>
      </c>
      <c r="H284" s="87" t="s">
        <v>1682</v>
      </c>
      <c r="I284" s="88" t="s">
        <v>1684</v>
      </c>
      <c r="J284" s="89" t="s">
        <v>1686</v>
      </c>
      <c r="K284" s="89" t="s">
        <v>221</v>
      </c>
      <c r="L284" s="89" t="s">
        <v>1687</v>
      </c>
      <c r="M284" s="118" t="s">
        <v>1688</v>
      </c>
      <c r="N284" s="90">
        <v>60000</v>
      </c>
      <c r="O284" s="91">
        <v>46218</v>
      </c>
      <c r="P284" s="90" t="s">
        <v>1577</v>
      </c>
      <c r="Q284" s="90">
        <v>80</v>
      </c>
      <c r="R284" s="90">
        <v>25400</v>
      </c>
      <c r="S284" s="130">
        <v>4400</v>
      </c>
      <c r="T284" s="90">
        <f t="shared" si="16"/>
        <v>21000</v>
      </c>
      <c r="U284" s="92">
        <f t="shared" si="17"/>
        <v>19090.909090909088</v>
      </c>
      <c r="V284" s="92">
        <f t="shared" si="18"/>
        <v>1145454545.4545453</v>
      </c>
      <c r="W284" s="92">
        <f t="shared" si="19"/>
        <v>114545454.54545453</v>
      </c>
      <c r="Y284" s="115"/>
    </row>
    <row r="285" spans="1:25" s="94" customFormat="1" ht="30" customHeight="1">
      <c r="A285" s="85">
        <v>275</v>
      </c>
      <c r="B285" s="86" t="s">
        <v>213</v>
      </c>
      <c r="C285" s="127">
        <v>91</v>
      </c>
      <c r="D285" s="127" t="s">
        <v>51</v>
      </c>
      <c r="E285" s="127" t="s">
        <v>55</v>
      </c>
      <c r="F285" s="117" t="s">
        <v>56</v>
      </c>
      <c r="G285" s="88">
        <v>46220</v>
      </c>
      <c r="H285" s="87" t="s">
        <v>1689</v>
      </c>
      <c r="I285" s="88" t="s">
        <v>1691</v>
      </c>
      <c r="J285" s="89" t="s">
        <v>2593</v>
      </c>
      <c r="K285" s="89" t="s">
        <v>1690</v>
      </c>
      <c r="L285" s="89" t="s">
        <v>1585</v>
      </c>
      <c r="M285" s="118" t="s">
        <v>1692</v>
      </c>
      <c r="N285" s="90">
        <v>47000</v>
      </c>
      <c r="O285" s="91">
        <v>46218</v>
      </c>
      <c r="P285" s="90" t="s">
        <v>1577</v>
      </c>
      <c r="Q285" s="90">
        <v>80</v>
      </c>
      <c r="R285" s="90">
        <v>29940</v>
      </c>
      <c r="S285" s="130">
        <v>2500</v>
      </c>
      <c r="T285" s="90">
        <f t="shared" si="16"/>
        <v>27440</v>
      </c>
      <c r="U285" s="92">
        <f t="shared" si="17"/>
        <v>24945.45454545454</v>
      </c>
      <c r="V285" s="92">
        <f t="shared" si="18"/>
        <v>1172436363.6363635</v>
      </c>
      <c r="W285" s="92">
        <f t="shared" si="19"/>
        <v>117243636.36363636</v>
      </c>
      <c r="Y285" s="115"/>
    </row>
    <row r="286" spans="1:25" s="94" customFormat="1" ht="30" customHeight="1">
      <c r="A286" s="85">
        <v>276</v>
      </c>
      <c r="B286" s="86" t="s">
        <v>50</v>
      </c>
      <c r="C286" s="127" t="s">
        <v>43</v>
      </c>
      <c r="D286" s="127" t="s">
        <v>51</v>
      </c>
      <c r="E286" s="127" t="s">
        <v>53</v>
      </c>
      <c r="F286" s="117" t="s">
        <v>49</v>
      </c>
      <c r="G286" s="88">
        <v>46224</v>
      </c>
      <c r="H286" s="87" t="s">
        <v>1693</v>
      </c>
      <c r="I286" s="88" t="s">
        <v>1694</v>
      </c>
      <c r="J286" s="89" t="s">
        <v>2305</v>
      </c>
      <c r="K286" s="89" t="s">
        <v>246</v>
      </c>
      <c r="L286" s="89" t="s">
        <v>1695</v>
      </c>
      <c r="M286" s="118" t="s">
        <v>1696</v>
      </c>
      <c r="N286" s="90">
        <v>10000</v>
      </c>
      <c r="O286" s="91">
        <v>46218</v>
      </c>
      <c r="P286" s="90" t="s">
        <v>1577</v>
      </c>
      <c r="Q286" s="90">
        <v>80</v>
      </c>
      <c r="R286" s="90">
        <v>28390</v>
      </c>
      <c r="S286" s="130">
        <v>5300</v>
      </c>
      <c r="T286" s="90">
        <f t="shared" si="16"/>
        <v>23090</v>
      </c>
      <c r="U286" s="92">
        <f t="shared" si="17"/>
        <v>20990.909090909088</v>
      </c>
      <c r="V286" s="92">
        <f t="shared" si="18"/>
        <v>209909090.90909088</v>
      </c>
      <c r="W286" s="92">
        <f t="shared" si="19"/>
        <v>20990909.09090909</v>
      </c>
      <c r="Y286" s="115"/>
    </row>
    <row r="287" spans="1:25" s="94" customFormat="1" ht="30" customHeight="1">
      <c r="A287" s="85">
        <v>277</v>
      </c>
      <c r="B287" s="86" t="s">
        <v>50</v>
      </c>
      <c r="C287" s="127" t="s">
        <v>43</v>
      </c>
      <c r="D287" s="127" t="s">
        <v>51</v>
      </c>
      <c r="E287" s="127" t="s">
        <v>61</v>
      </c>
      <c r="F287" s="117" t="s">
        <v>49</v>
      </c>
      <c r="G287" s="88">
        <v>46223</v>
      </c>
      <c r="H287" s="87" t="s">
        <v>1697</v>
      </c>
      <c r="I287" s="88" t="s">
        <v>1698</v>
      </c>
      <c r="J287" s="89" t="s">
        <v>2443</v>
      </c>
      <c r="K287" s="89" t="s">
        <v>249</v>
      </c>
      <c r="L287" s="89" t="s">
        <v>1687</v>
      </c>
      <c r="M287" s="118" t="s">
        <v>1699</v>
      </c>
      <c r="N287" s="90">
        <v>32000</v>
      </c>
      <c r="O287" s="91">
        <v>46218</v>
      </c>
      <c r="P287" s="90" t="s">
        <v>1577</v>
      </c>
      <c r="Q287" s="90">
        <v>80</v>
      </c>
      <c r="R287" s="90">
        <v>28730</v>
      </c>
      <c r="S287" s="130">
        <v>5200</v>
      </c>
      <c r="T287" s="90">
        <f t="shared" si="16"/>
        <v>23530</v>
      </c>
      <c r="U287" s="92">
        <f t="shared" si="17"/>
        <v>21390.909090909088</v>
      </c>
      <c r="V287" s="92">
        <f t="shared" si="18"/>
        <v>684509090.90909076</v>
      </c>
      <c r="W287" s="92">
        <f t="shared" si="19"/>
        <v>68450909.090909079</v>
      </c>
      <c r="Y287" s="115"/>
    </row>
    <row r="288" spans="1:25" s="94" customFormat="1" ht="30" customHeight="1">
      <c r="A288" s="85">
        <v>278</v>
      </c>
      <c r="B288" s="86" t="s">
        <v>50</v>
      </c>
      <c r="C288" s="127" t="s">
        <v>43</v>
      </c>
      <c r="D288" s="127" t="s">
        <v>51</v>
      </c>
      <c r="E288" s="127" t="s">
        <v>55</v>
      </c>
      <c r="F288" s="117" t="s">
        <v>49</v>
      </c>
      <c r="G288" s="88">
        <v>46220</v>
      </c>
      <c r="H288" s="87" t="s">
        <v>1700</v>
      </c>
      <c r="I288" s="88" t="s">
        <v>1701</v>
      </c>
      <c r="J288" s="89" t="s">
        <v>2594</v>
      </c>
      <c r="K288" s="89" t="s">
        <v>1702</v>
      </c>
      <c r="L288" s="89" t="s">
        <v>1492</v>
      </c>
      <c r="M288" s="118" t="s">
        <v>1703</v>
      </c>
      <c r="N288" s="90">
        <v>20000</v>
      </c>
      <c r="O288" s="91">
        <v>46218</v>
      </c>
      <c r="P288" s="90" t="s">
        <v>1577</v>
      </c>
      <c r="Q288" s="90">
        <v>80</v>
      </c>
      <c r="R288" s="90">
        <v>25460</v>
      </c>
      <c r="S288" s="130">
        <v>4800</v>
      </c>
      <c r="T288" s="90">
        <f t="shared" si="16"/>
        <v>20660</v>
      </c>
      <c r="U288" s="92">
        <f t="shared" si="17"/>
        <v>18781.81818181818</v>
      </c>
      <c r="V288" s="92">
        <f t="shared" si="18"/>
        <v>375636363.63636357</v>
      </c>
      <c r="W288" s="92">
        <f t="shared" si="19"/>
        <v>37563636.36363636</v>
      </c>
      <c r="Y288" s="115"/>
    </row>
    <row r="289" spans="1:25" s="94" customFormat="1" ht="30" customHeight="1">
      <c r="A289" s="85">
        <v>279</v>
      </c>
      <c r="B289" s="86" t="s">
        <v>50</v>
      </c>
      <c r="C289" s="127" t="s">
        <v>43</v>
      </c>
      <c r="D289" s="127" t="s">
        <v>51</v>
      </c>
      <c r="E289" s="127" t="s">
        <v>55</v>
      </c>
      <c r="F289" s="117" t="s">
        <v>49</v>
      </c>
      <c r="G289" s="88">
        <v>46220</v>
      </c>
      <c r="H289" s="87" t="s">
        <v>1704</v>
      </c>
      <c r="I289" s="88" t="s">
        <v>1706</v>
      </c>
      <c r="J289" s="89" t="s">
        <v>2595</v>
      </c>
      <c r="K289" s="89" t="s">
        <v>1705</v>
      </c>
      <c r="L289" s="89" t="s">
        <v>1492</v>
      </c>
      <c r="M289" s="118" t="s">
        <v>1713</v>
      </c>
      <c r="N289" s="90">
        <v>80000</v>
      </c>
      <c r="O289" s="91">
        <v>46218</v>
      </c>
      <c r="P289" s="90" t="s">
        <v>1577</v>
      </c>
      <c r="Q289" s="90">
        <v>80</v>
      </c>
      <c r="R289" s="90">
        <v>24770</v>
      </c>
      <c r="S289" s="130">
        <v>3975</v>
      </c>
      <c r="T289" s="90">
        <f t="shared" si="16"/>
        <v>20795</v>
      </c>
      <c r="U289" s="92">
        <f t="shared" si="17"/>
        <v>18904.545454545452</v>
      </c>
      <c r="V289" s="92">
        <f t="shared" si="18"/>
        <v>1512363636.363636</v>
      </c>
      <c r="W289" s="92">
        <f t="shared" si="19"/>
        <v>151236363.6363636</v>
      </c>
      <c r="Y289" s="115"/>
    </row>
    <row r="290" spans="1:25" s="94" customFormat="1" ht="30" customHeight="1">
      <c r="A290" s="85">
        <v>280</v>
      </c>
      <c r="B290" s="86" t="s">
        <v>50</v>
      </c>
      <c r="C290" s="127" t="s">
        <v>43</v>
      </c>
      <c r="D290" s="127" t="s">
        <v>51</v>
      </c>
      <c r="E290" s="127" t="s">
        <v>55</v>
      </c>
      <c r="F290" s="117" t="s">
        <v>49</v>
      </c>
      <c r="G290" s="88">
        <v>46220</v>
      </c>
      <c r="H290" s="87" t="s">
        <v>1714</v>
      </c>
      <c r="I290" s="88" t="s">
        <v>1707</v>
      </c>
      <c r="J290" s="89" t="s">
        <v>2596</v>
      </c>
      <c r="K290" s="89" t="s">
        <v>1715</v>
      </c>
      <c r="L290" s="89" t="s">
        <v>1585</v>
      </c>
      <c r="M290" s="118" t="s">
        <v>1716</v>
      </c>
      <c r="N290" s="90">
        <v>160000</v>
      </c>
      <c r="O290" s="91">
        <v>46218</v>
      </c>
      <c r="P290" s="90" t="s">
        <v>1577</v>
      </c>
      <c r="Q290" s="90">
        <v>80</v>
      </c>
      <c r="R290" s="90">
        <v>25860</v>
      </c>
      <c r="S290" s="130">
        <v>4948</v>
      </c>
      <c r="T290" s="90">
        <f t="shared" si="16"/>
        <v>20912</v>
      </c>
      <c r="U290" s="92">
        <f t="shared" si="17"/>
        <v>19010.909090909088</v>
      </c>
      <c r="V290" s="92">
        <f t="shared" si="18"/>
        <v>3041745454.545454</v>
      </c>
      <c r="W290" s="92">
        <f t="shared" si="19"/>
        <v>304174545.45454544</v>
      </c>
      <c r="Y290" s="115"/>
    </row>
    <row r="291" spans="1:25" s="94" customFormat="1" ht="30" customHeight="1">
      <c r="A291" s="85">
        <v>281</v>
      </c>
      <c r="B291" s="86" t="s">
        <v>50</v>
      </c>
      <c r="C291" s="127" t="s">
        <v>43</v>
      </c>
      <c r="D291" s="127" t="s">
        <v>51</v>
      </c>
      <c r="E291" s="127" t="s">
        <v>55</v>
      </c>
      <c r="F291" s="117" t="s">
        <v>49</v>
      </c>
      <c r="G291" s="88">
        <v>46220</v>
      </c>
      <c r="H291" s="87" t="s">
        <v>1717</v>
      </c>
      <c r="I291" s="88" t="s">
        <v>1708</v>
      </c>
      <c r="J291" s="89" t="s">
        <v>2597</v>
      </c>
      <c r="K291" s="89" t="s">
        <v>1718</v>
      </c>
      <c r="L291" s="89" t="s">
        <v>1585</v>
      </c>
      <c r="M291" s="118" t="s">
        <v>1719</v>
      </c>
      <c r="N291" s="90">
        <v>10000</v>
      </c>
      <c r="O291" s="91">
        <v>46218</v>
      </c>
      <c r="P291" s="90" t="s">
        <v>1577</v>
      </c>
      <c r="Q291" s="90">
        <v>80</v>
      </c>
      <c r="R291" s="90">
        <v>28350</v>
      </c>
      <c r="S291" s="130">
        <v>5200</v>
      </c>
      <c r="T291" s="90">
        <f t="shared" si="16"/>
        <v>23150</v>
      </c>
      <c r="U291" s="92">
        <f t="shared" si="17"/>
        <v>21045.45454545454</v>
      </c>
      <c r="V291" s="92">
        <f t="shared" si="18"/>
        <v>210454545.45454541</v>
      </c>
      <c r="W291" s="92">
        <f t="shared" si="19"/>
        <v>21045454.545454543</v>
      </c>
      <c r="Y291" s="115"/>
    </row>
    <row r="292" spans="1:25" s="94" customFormat="1" ht="30" customHeight="1">
      <c r="A292" s="85">
        <v>282</v>
      </c>
      <c r="B292" s="86" t="s">
        <v>50</v>
      </c>
      <c r="C292" s="127" t="s">
        <v>43</v>
      </c>
      <c r="D292" s="127" t="s">
        <v>51</v>
      </c>
      <c r="E292" s="127" t="s">
        <v>52</v>
      </c>
      <c r="F292" s="117" t="s">
        <v>49</v>
      </c>
      <c r="G292" s="88">
        <v>46224</v>
      </c>
      <c r="H292" s="87" t="s">
        <v>1721</v>
      </c>
      <c r="I292" s="88" t="s">
        <v>1709</v>
      </c>
      <c r="J292" s="89" t="s">
        <v>1722</v>
      </c>
      <c r="K292" s="89" t="s">
        <v>243</v>
      </c>
      <c r="L292" s="89" t="s">
        <v>1695</v>
      </c>
      <c r="M292" s="118" t="s">
        <v>1723</v>
      </c>
      <c r="N292" s="90">
        <v>20000</v>
      </c>
      <c r="O292" s="91">
        <v>46218</v>
      </c>
      <c r="P292" s="90" t="s">
        <v>1577</v>
      </c>
      <c r="Q292" s="90">
        <v>80</v>
      </c>
      <c r="R292" s="90">
        <v>28270</v>
      </c>
      <c r="S292" s="130">
        <v>5300</v>
      </c>
      <c r="T292" s="90">
        <f t="shared" si="16"/>
        <v>22970</v>
      </c>
      <c r="U292" s="92">
        <f t="shared" si="17"/>
        <v>20881.81818181818</v>
      </c>
      <c r="V292" s="92">
        <f t="shared" si="18"/>
        <v>417636363.63636357</v>
      </c>
      <c r="W292" s="92">
        <f t="shared" si="19"/>
        <v>41763636.36363636</v>
      </c>
      <c r="Y292" s="115"/>
    </row>
    <row r="293" spans="1:25" s="94" customFormat="1" ht="30" customHeight="1">
      <c r="A293" s="85">
        <v>283</v>
      </c>
      <c r="B293" s="86" t="s">
        <v>50</v>
      </c>
      <c r="C293" s="127" t="s">
        <v>43</v>
      </c>
      <c r="D293" s="127" t="s">
        <v>51</v>
      </c>
      <c r="E293" s="127" t="s">
        <v>52</v>
      </c>
      <c r="F293" s="117" t="s">
        <v>49</v>
      </c>
      <c r="G293" s="88">
        <v>46224</v>
      </c>
      <c r="H293" s="87" t="s">
        <v>1724</v>
      </c>
      <c r="I293" s="88" t="s">
        <v>1710</v>
      </c>
      <c r="J293" s="89" t="s">
        <v>1725</v>
      </c>
      <c r="K293" s="89" t="s">
        <v>350</v>
      </c>
      <c r="L293" s="89" t="s">
        <v>1695</v>
      </c>
      <c r="M293" s="118" t="s">
        <v>1726</v>
      </c>
      <c r="N293" s="90">
        <v>8000</v>
      </c>
      <c r="O293" s="91">
        <v>46218</v>
      </c>
      <c r="P293" s="90" t="s">
        <v>1577</v>
      </c>
      <c r="Q293" s="90">
        <v>80</v>
      </c>
      <c r="R293" s="90">
        <v>28270</v>
      </c>
      <c r="S293" s="130">
        <v>5300</v>
      </c>
      <c r="T293" s="90">
        <f t="shared" si="16"/>
        <v>22970</v>
      </c>
      <c r="U293" s="92">
        <f t="shared" si="17"/>
        <v>20881.81818181818</v>
      </c>
      <c r="V293" s="92">
        <f t="shared" si="18"/>
        <v>167054545.45454544</v>
      </c>
      <c r="W293" s="92">
        <f t="shared" si="19"/>
        <v>16705454.545454545</v>
      </c>
      <c r="Y293" s="115"/>
    </row>
    <row r="294" spans="1:25" s="94" customFormat="1" ht="30" customHeight="1">
      <c r="A294" s="85">
        <v>284</v>
      </c>
      <c r="B294" s="86" t="s">
        <v>50</v>
      </c>
      <c r="C294" s="127" t="s">
        <v>43</v>
      </c>
      <c r="D294" s="127" t="s">
        <v>51</v>
      </c>
      <c r="E294" s="127" t="s">
        <v>52</v>
      </c>
      <c r="F294" s="117" t="s">
        <v>49</v>
      </c>
      <c r="G294" s="88">
        <v>46224</v>
      </c>
      <c r="H294" s="87" t="s">
        <v>1720</v>
      </c>
      <c r="I294" s="88" t="s">
        <v>1711</v>
      </c>
      <c r="J294" s="89" t="s">
        <v>1727</v>
      </c>
      <c r="K294" s="89" t="s">
        <v>239</v>
      </c>
      <c r="L294" s="89" t="s">
        <v>1695</v>
      </c>
      <c r="M294" s="118" t="s">
        <v>1728</v>
      </c>
      <c r="N294" s="90">
        <v>12000</v>
      </c>
      <c r="O294" s="91">
        <v>46218</v>
      </c>
      <c r="P294" s="90" t="s">
        <v>1577</v>
      </c>
      <c r="Q294" s="90">
        <v>80</v>
      </c>
      <c r="R294" s="90">
        <v>28270</v>
      </c>
      <c r="S294" s="130">
        <v>5200</v>
      </c>
      <c r="T294" s="90">
        <f t="shared" si="16"/>
        <v>23070</v>
      </c>
      <c r="U294" s="92">
        <f t="shared" si="17"/>
        <v>20972.727272727268</v>
      </c>
      <c r="V294" s="92">
        <f t="shared" si="18"/>
        <v>251672727.27272722</v>
      </c>
      <c r="W294" s="92">
        <f t="shared" si="19"/>
        <v>25167272.727272723</v>
      </c>
      <c r="Y294" s="115"/>
    </row>
    <row r="295" spans="1:25" s="94" customFormat="1" ht="30" customHeight="1">
      <c r="A295" s="85">
        <v>285</v>
      </c>
      <c r="B295" s="86" t="s">
        <v>50</v>
      </c>
      <c r="C295" s="127" t="s">
        <v>43</v>
      </c>
      <c r="D295" s="127" t="s">
        <v>51</v>
      </c>
      <c r="E295" s="127" t="s">
        <v>52</v>
      </c>
      <c r="F295" s="117" t="s">
        <v>49</v>
      </c>
      <c r="G295" s="88">
        <v>46224</v>
      </c>
      <c r="H295" s="87" t="s">
        <v>1729</v>
      </c>
      <c r="I295" s="88" t="s">
        <v>1712</v>
      </c>
      <c r="J295" s="89" t="s">
        <v>1730</v>
      </c>
      <c r="K295" s="89" t="s">
        <v>253</v>
      </c>
      <c r="L295" s="89" t="s">
        <v>1695</v>
      </c>
      <c r="M295" s="118" t="s">
        <v>1731</v>
      </c>
      <c r="N295" s="90">
        <v>16000</v>
      </c>
      <c r="O295" s="91">
        <v>46218</v>
      </c>
      <c r="P295" s="90" t="s">
        <v>1577</v>
      </c>
      <c r="Q295" s="90">
        <v>80</v>
      </c>
      <c r="R295" s="90">
        <v>28270</v>
      </c>
      <c r="S295" s="130">
        <v>5300</v>
      </c>
      <c r="T295" s="90">
        <f t="shared" si="16"/>
        <v>22970</v>
      </c>
      <c r="U295" s="92">
        <f t="shared" si="17"/>
        <v>20881.81818181818</v>
      </c>
      <c r="V295" s="92">
        <f t="shared" si="18"/>
        <v>334109090.90909088</v>
      </c>
      <c r="W295" s="92">
        <f t="shared" si="19"/>
        <v>33410909.09090909</v>
      </c>
      <c r="Y295" s="115"/>
    </row>
    <row r="296" spans="1:25" s="94" customFormat="1" ht="30" customHeight="1">
      <c r="A296" s="85">
        <v>286</v>
      </c>
      <c r="B296" s="86" t="s">
        <v>50</v>
      </c>
      <c r="C296" s="127" t="s">
        <v>43</v>
      </c>
      <c r="D296" s="127" t="s">
        <v>51</v>
      </c>
      <c r="E296" s="127" t="s">
        <v>54</v>
      </c>
      <c r="F296" s="117" t="s">
        <v>49</v>
      </c>
      <c r="G296" s="88">
        <v>46224</v>
      </c>
      <c r="H296" s="87" t="s">
        <v>1748</v>
      </c>
      <c r="I296" s="88" t="s">
        <v>1749</v>
      </c>
      <c r="J296" s="89" t="s">
        <v>2532</v>
      </c>
      <c r="K296" s="89" t="s">
        <v>266</v>
      </c>
      <c r="L296" s="89" t="s">
        <v>1695</v>
      </c>
      <c r="M296" s="118" t="s">
        <v>1751</v>
      </c>
      <c r="N296" s="90">
        <v>20000</v>
      </c>
      <c r="O296" s="91">
        <v>46218</v>
      </c>
      <c r="P296" s="90" t="s">
        <v>1577</v>
      </c>
      <c r="Q296" s="90">
        <v>80</v>
      </c>
      <c r="R296" s="90">
        <v>28860</v>
      </c>
      <c r="S296" s="130">
        <v>4400</v>
      </c>
      <c r="T296" s="90">
        <f t="shared" si="16"/>
        <v>24460</v>
      </c>
      <c r="U296" s="92">
        <f t="shared" si="17"/>
        <v>22236.363636363632</v>
      </c>
      <c r="V296" s="92">
        <f t="shared" si="18"/>
        <v>444727272.72727263</v>
      </c>
      <c r="W296" s="92">
        <f t="shared" si="19"/>
        <v>44472727.272727266</v>
      </c>
      <c r="Y296" s="115"/>
    </row>
    <row r="297" spans="1:25" s="94" customFormat="1" ht="30" customHeight="1">
      <c r="A297" s="85">
        <v>287</v>
      </c>
      <c r="B297" s="86" t="s">
        <v>50</v>
      </c>
      <c r="C297" s="127" t="s">
        <v>43</v>
      </c>
      <c r="D297" s="127" t="s">
        <v>51</v>
      </c>
      <c r="E297" s="127" t="s">
        <v>54</v>
      </c>
      <c r="F297" s="117" t="s">
        <v>49</v>
      </c>
      <c r="G297" s="88">
        <v>46224</v>
      </c>
      <c r="H297" s="87" t="s">
        <v>1752</v>
      </c>
      <c r="I297" s="88" t="s">
        <v>1753</v>
      </c>
      <c r="J297" s="89" t="s">
        <v>2533</v>
      </c>
      <c r="K297" s="89" t="s">
        <v>262</v>
      </c>
      <c r="L297" s="89" t="s">
        <v>1695</v>
      </c>
      <c r="M297" s="118" t="s">
        <v>1756</v>
      </c>
      <c r="N297" s="90">
        <v>12000</v>
      </c>
      <c r="O297" s="91">
        <v>46218</v>
      </c>
      <c r="P297" s="90" t="s">
        <v>1577</v>
      </c>
      <c r="Q297" s="90">
        <v>80</v>
      </c>
      <c r="R297" s="90">
        <v>28760</v>
      </c>
      <c r="S297" s="130">
        <v>4400</v>
      </c>
      <c r="T297" s="90">
        <f t="shared" si="16"/>
        <v>24360</v>
      </c>
      <c r="U297" s="92">
        <f t="shared" si="17"/>
        <v>22145.45454545454</v>
      </c>
      <c r="V297" s="92">
        <f t="shared" si="18"/>
        <v>265745454.5454545</v>
      </c>
      <c r="W297" s="92">
        <f t="shared" si="19"/>
        <v>26574545.454545453</v>
      </c>
      <c r="Y297" s="115"/>
    </row>
    <row r="298" spans="1:25" s="94" customFormat="1" ht="30" customHeight="1">
      <c r="A298" s="85">
        <v>288</v>
      </c>
      <c r="B298" s="86" t="s">
        <v>50</v>
      </c>
      <c r="C298" s="127" t="s">
        <v>43</v>
      </c>
      <c r="D298" s="127" t="s">
        <v>51</v>
      </c>
      <c r="E298" s="127" t="s">
        <v>55</v>
      </c>
      <c r="F298" s="117" t="s">
        <v>49</v>
      </c>
      <c r="G298" s="88">
        <v>46224</v>
      </c>
      <c r="H298" s="87" t="s">
        <v>1757</v>
      </c>
      <c r="I298" s="88" t="s">
        <v>1754</v>
      </c>
      <c r="J298" s="89" t="s">
        <v>2601</v>
      </c>
      <c r="K298" s="89" t="s">
        <v>257</v>
      </c>
      <c r="L298" s="89" t="s">
        <v>1695</v>
      </c>
      <c r="M298" s="118" t="s">
        <v>1758</v>
      </c>
      <c r="N298" s="90">
        <v>40000</v>
      </c>
      <c r="O298" s="91">
        <v>46218</v>
      </c>
      <c r="P298" s="90" t="s">
        <v>1577</v>
      </c>
      <c r="Q298" s="90">
        <v>80</v>
      </c>
      <c r="R298" s="90">
        <v>28440</v>
      </c>
      <c r="S298" s="130">
        <v>4400</v>
      </c>
      <c r="T298" s="90">
        <f t="shared" si="16"/>
        <v>24040</v>
      </c>
      <c r="U298" s="92">
        <f t="shared" si="17"/>
        <v>21854.545454545452</v>
      </c>
      <c r="V298" s="92">
        <f t="shared" si="18"/>
        <v>874181818.18181801</v>
      </c>
      <c r="W298" s="92">
        <f t="shared" si="19"/>
        <v>87418181.818181813</v>
      </c>
      <c r="Y298" s="115"/>
    </row>
    <row r="299" spans="1:25" s="94" customFormat="1" ht="30" customHeight="1">
      <c r="A299" s="85">
        <v>289</v>
      </c>
      <c r="B299" s="86" t="s">
        <v>50</v>
      </c>
      <c r="C299" s="127" t="s">
        <v>43</v>
      </c>
      <c r="D299" s="127" t="s">
        <v>51</v>
      </c>
      <c r="E299" s="127" t="s">
        <v>61</v>
      </c>
      <c r="F299" s="117" t="s">
        <v>49</v>
      </c>
      <c r="G299" s="88">
        <v>46224</v>
      </c>
      <c r="H299" s="87" t="s">
        <v>1762</v>
      </c>
      <c r="I299" s="88" t="s">
        <v>1755</v>
      </c>
      <c r="J299" s="89" t="s">
        <v>2444</v>
      </c>
      <c r="K299" s="89" t="s">
        <v>270</v>
      </c>
      <c r="L299" s="89" t="s">
        <v>1695</v>
      </c>
      <c r="M299" s="118" t="s">
        <v>1763</v>
      </c>
      <c r="N299" s="90">
        <v>60000</v>
      </c>
      <c r="O299" s="91">
        <v>46218</v>
      </c>
      <c r="P299" s="90" t="s">
        <v>1577</v>
      </c>
      <c r="Q299" s="90">
        <v>80</v>
      </c>
      <c r="R299" s="90">
        <v>28820</v>
      </c>
      <c r="S299" s="130">
        <v>4400</v>
      </c>
      <c r="T299" s="90">
        <f t="shared" si="16"/>
        <v>24420</v>
      </c>
      <c r="U299" s="92">
        <f t="shared" si="17"/>
        <v>22199.999999999996</v>
      </c>
      <c r="V299" s="92">
        <f t="shared" si="18"/>
        <v>1331999999.9999998</v>
      </c>
      <c r="W299" s="92">
        <f t="shared" si="19"/>
        <v>133199999.99999999</v>
      </c>
      <c r="Y299" s="115"/>
    </row>
    <row r="300" spans="1:25" s="94" customFormat="1" ht="30" customHeight="1">
      <c r="A300" s="85">
        <v>290</v>
      </c>
      <c r="B300" s="86" t="s">
        <v>1764</v>
      </c>
      <c r="C300" s="127" t="s">
        <v>43</v>
      </c>
      <c r="D300" s="127" t="s">
        <v>51</v>
      </c>
      <c r="E300" s="127" t="s">
        <v>53</v>
      </c>
      <c r="F300" s="117" t="s">
        <v>1765</v>
      </c>
      <c r="G300" s="88">
        <v>46224</v>
      </c>
      <c r="H300" s="87" t="s">
        <v>1766</v>
      </c>
      <c r="I300" s="88" t="s">
        <v>1767</v>
      </c>
      <c r="J300" s="89" t="s">
        <v>2306</v>
      </c>
      <c r="K300" s="89" t="s">
        <v>274</v>
      </c>
      <c r="L300" s="89" t="s">
        <v>1695</v>
      </c>
      <c r="M300" s="118" t="s">
        <v>1769</v>
      </c>
      <c r="N300" s="90">
        <v>20000</v>
      </c>
      <c r="O300" s="91">
        <v>46218</v>
      </c>
      <c r="P300" s="90" t="s">
        <v>1577</v>
      </c>
      <c r="Q300" s="90">
        <v>80</v>
      </c>
      <c r="R300" s="90">
        <v>28450</v>
      </c>
      <c r="S300" s="130">
        <v>4000</v>
      </c>
      <c r="T300" s="90">
        <f t="shared" si="16"/>
        <v>24450</v>
      </c>
      <c r="U300" s="92">
        <f t="shared" si="17"/>
        <v>22227.272727272724</v>
      </c>
      <c r="V300" s="92">
        <f t="shared" si="18"/>
        <v>444545454.5454545</v>
      </c>
      <c r="W300" s="92">
        <f t="shared" si="19"/>
        <v>44454545.454545453</v>
      </c>
      <c r="Y300" s="115"/>
    </row>
    <row r="301" spans="1:25" s="94" customFormat="1" ht="30" customHeight="1">
      <c r="A301" s="85">
        <v>291</v>
      </c>
      <c r="B301" s="86" t="s">
        <v>213</v>
      </c>
      <c r="C301" s="127" t="s">
        <v>43</v>
      </c>
      <c r="D301" s="127" t="s">
        <v>51</v>
      </c>
      <c r="E301" s="127" t="s">
        <v>55</v>
      </c>
      <c r="F301" s="117" t="s">
        <v>56</v>
      </c>
      <c r="G301" s="88">
        <v>46224</v>
      </c>
      <c r="H301" s="87" t="s">
        <v>1785</v>
      </c>
      <c r="I301" s="88" t="s">
        <v>1789</v>
      </c>
      <c r="J301" s="89" t="s">
        <v>2598</v>
      </c>
      <c r="K301" s="89" t="s">
        <v>278</v>
      </c>
      <c r="L301" s="89" t="s">
        <v>1750</v>
      </c>
      <c r="M301" s="118" t="s">
        <v>1788</v>
      </c>
      <c r="N301" s="90">
        <v>42000</v>
      </c>
      <c r="O301" s="91">
        <v>46218</v>
      </c>
      <c r="P301" s="90" t="s">
        <v>1577</v>
      </c>
      <c r="Q301" s="90">
        <v>80</v>
      </c>
      <c r="R301" s="90">
        <v>28300</v>
      </c>
      <c r="S301" s="130">
        <v>4200</v>
      </c>
      <c r="T301" s="90">
        <f t="shared" si="16"/>
        <v>24100</v>
      </c>
      <c r="U301" s="92">
        <f t="shared" si="17"/>
        <v>21909.090909090904</v>
      </c>
      <c r="V301" s="92">
        <f t="shared" si="18"/>
        <v>920181818.18181801</v>
      </c>
      <c r="W301" s="92">
        <f t="shared" si="19"/>
        <v>92018181.818181813</v>
      </c>
      <c r="Y301" s="115"/>
    </row>
    <row r="302" spans="1:25" s="94" customFormat="1" ht="30" customHeight="1">
      <c r="A302" s="85">
        <v>292</v>
      </c>
      <c r="B302" s="86" t="s">
        <v>213</v>
      </c>
      <c r="C302" s="127" t="s">
        <v>43</v>
      </c>
      <c r="D302" s="127" t="s">
        <v>51</v>
      </c>
      <c r="E302" s="127" t="s">
        <v>55</v>
      </c>
      <c r="F302" s="117" t="s">
        <v>56</v>
      </c>
      <c r="G302" s="88">
        <v>46224</v>
      </c>
      <c r="H302" s="87" t="s">
        <v>1786</v>
      </c>
      <c r="I302" s="88" t="s">
        <v>1790</v>
      </c>
      <c r="J302" s="89" t="s">
        <v>2599</v>
      </c>
      <c r="K302" s="89" t="s">
        <v>278</v>
      </c>
      <c r="L302" s="89" t="s">
        <v>1750</v>
      </c>
      <c r="M302" s="118" t="s">
        <v>1788</v>
      </c>
      <c r="N302" s="90">
        <v>42000</v>
      </c>
      <c r="O302" s="91">
        <v>46218</v>
      </c>
      <c r="P302" s="90" t="s">
        <v>1577</v>
      </c>
      <c r="Q302" s="90">
        <v>80</v>
      </c>
      <c r="R302" s="90">
        <v>28300</v>
      </c>
      <c r="S302" s="130">
        <v>4200</v>
      </c>
      <c r="T302" s="90">
        <f t="shared" si="16"/>
        <v>24100</v>
      </c>
      <c r="U302" s="92">
        <f t="shared" si="17"/>
        <v>21909.090909090904</v>
      </c>
      <c r="V302" s="92">
        <f t="shared" si="18"/>
        <v>920181818.18181801</v>
      </c>
      <c r="W302" s="92">
        <f t="shared" si="19"/>
        <v>92018181.818181813</v>
      </c>
      <c r="Y302" s="115"/>
    </row>
    <row r="303" spans="1:25" s="94" customFormat="1" ht="30" customHeight="1">
      <c r="A303" s="85">
        <v>293</v>
      </c>
      <c r="B303" s="86" t="s">
        <v>1783</v>
      </c>
      <c r="C303" s="127" t="s">
        <v>43</v>
      </c>
      <c r="D303" s="127" t="s">
        <v>51</v>
      </c>
      <c r="E303" s="127" t="s">
        <v>55</v>
      </c>
      <c r="F303" s="117" t="s">
        <v>1784</v>
      </c>
      <c r="G303" s="88">
        <v>46224</v>
      </c>
      <c r="H303" s="87" t="s">
        <v>1787</v>
      </c>
      <c r="I303" s="88" t="s">
        <v>1791</v>
      </c>
      <c r="J303" s="89" t="s">
        <v>2600</v>
      </c>
      <c r="K303" s="89" t="s">
        <v>278</v>
      </c>
      <c r="L303" s="89" t="s">
        <v>1750</v>
      </c>
      <c r="M303" s="118" t="s">
        <v>1788</v>
      </c>
      <c r="N303" s="90">
        <v>42000</v>
      </c>
      <c r="O303" s="91">
        <v>46218</v>
      </c>
      <c r="P303" s="90" t="s">
        <v>1577</v>
      </c>
      <c r="Q303" s="90">
        <v>80</v>
      </c>
      <c r="R303" s="90">
        <v>28300</v>
      </c>
      <c r="S303" s="130">
        <v>4200</v>
      </c>
      <c r="T303" s="90">
        <f t="shared" si="16"/>
        <v>24100</v>
      </c>
      <c r="U303" s="92">
        <f t="shared" si="17"/>
        <v>21909.090909090904</v>
      </c>
      <c r="V303" s="92">
        <f t="shared" si="18"/>
        <v>920181818.18181801</v>
      </c>
      <c r="W303" s="92">
        <f t="shared" si="19"/>
        <v>92018181.818181813</v>
      </c>
      <c r="Y303" s="115"/>
    </row>
    <row r="304" spans="1:25" s="94" customFormat="1" ht="30" customHeight="1">
      <c r="A304" s="85">
        <v>294</v>
      </c>
      <c r="B304" s="86" t="s">
        <v>50</v>
      </c>
      <c r="C304" s="127" t="s">
        <v>43</v>
      </c>
      <c r="D304" s="127" t="s">
        <v>51</v>
      </c>
      <c r="E304" s="127" t="s">
        <v>54</v>
      </c>
      <c r="F304" s="117" t="s">
        <v>49</v>
      </c>
      <c r="G304" s="88">
        <v>46224</v>
      </c>
      <c r="H304" s="87" t="s">
        <v>1793</v>
      </c>
      <c r="I304" s="88" t="s">
        <v>1792</v>
      </c>
      <c r="J304" s="89" t="s">
        <v>2520</v>
      </c>
      <c r="K304" s="89" t="s">
        <v>319</v>
      </c>
      <c r="L304" s="89" t="s">
        <v>1695</v>
      </c>
      <c r="M304" s="118" t="s">
        <v>1794</v>
      </c>
      <c r="N304" s="90">
        <v>20000</v>
      </c>
      <c r="O304" s="91">
        <v>46218</v>
      </c>
      <c r="P304" s="90" t="s">
        <v>1577</v>
      </c>
      <c r="Q304" s="90">
        <v>80</v>
      </c>
      <c r="R304" s="90">
        <v>28780</v>
      </c>
      <c r="S304" s="130">
        <v>4200</v>
      </c>
      <c r="T304" s="90">
        <f t="shared" si="16"/>
        <v>24580</v>
      </c>
      <c r="U304" s="92">
        <f t="shared" si="17"/>
        <v>22345.45454545454</v>
      </c>
      <c r="V304" s="92">
        <f t="shared" si="18"/>
        <v>446909090.90909082</v>
      </c>
      <c r="W304" s="92">
        <f t="shared" si="19"/>
        <v>44690909.090909086</v>
      </c>
      <c r="Y304" s="115"/>
    </row>
    <row r="305" spans="1:25" s="94" customFormat="1" ht="30" customHeight="1">
      <c r="A305" s="85">
        <v>295</v>
      </c>
      <c r="B305" s="86" t="s">
        <v>50</v>
      </c>
      <c r="C305" s="127" t="s">
        <v>43</v>
      </c>
      <c r="D305" s="127" t="s">
        <v>51</v>
      </c>
      <c r="E305" s="127" t="s">
        <v>55</v>
      </c>
      <c r="F305" s="117" t="s">
        <v>49</v>
      </c>
      <c r="G305" s="88">
        <v>46224</v>
      </c>
      <c r="H305" s="87" t="s">
        <v>1795</v>
      </c>
      <c r="I305" s="88" t="s">
        <v>1796</v>
      </c>
      <c r="J305" s="89" t="s">
        <v>2602</v>
      </c>
      <c r="K305" s="89" t="s">
        <v>331</v>
      </c>
      <c r="L305" s="89" t="s">
        <v>1695</v>
      </c>
      <c r="M305" s="118" t="s">
        <v>1797</v>
      </c>
      <c r="N305" s="90">
        <v>16000</v>
      </c>
      <c r="O305" s="91">
        <v>46218</v>
      </c>
      <c r="P305" s="90" t="s">
        <v>1577</v>
      </c>
      <c r="Q305" s="90">
        <v>80</v>
      </c>
      <c r="R305" s="90">
        <v>28730</v>
      </c>
      <c r="S305" s="130">
        <v>4200</v>
      </c>
      <c r="T305" s="90">
        <f t="shared" si="16"/>
        <v>24530</v>
      </c>
      <c r="U305" s="92">
        <f t="shared" si="17"/>
        <v>22299.999999999996</v>
      </c>
      <c r="V305" s="92">
        <f t="shared" si="18"/>
        <v>356799999.99999994</v>
      </c>
      <c r="W305" s="92">
        <f t="shared" si="19"/>
        <v>35679999.999999993</v>
      </c>
      <c r="Y305" s="115"/>
    </row>
    <row r="306" spans="1:25" s="94" customFormat="1" ht="30" customHeight="1">
      <c r="A306" s="85">
        <v>296</v>
      </c>
      <c r="B306" s="86" t="s">
        <v>50</v>
      </c>
      <c r="C306" s="127" t="s">
        <v>43</v>
      </c>
      <c r="D306" s="127" t="s">
        <v>51</v>
      </c>
      <c r="E306" s="127" t="s">
        <v>52</v>
      </c>
      <c r="F306" s="117" t="s">
        <v>49</v>
      </c>
      <c r="G306" s="88">
        <v>46224</v>
      </c>
      <c r="H306" s="85" t="s">
        <v>1798</v>
      </c>
      <c r="I306" s="88" t="s">
        <v>1799</v>
      </c>
      <c r="J306" s="89" t="s">
        <v>1800</v>
      </c>
      <c r="K306" s="89" t="s">
        <v>323</v>
      </c>
      <c r="L306" s="89" t="s">
        <v>1695</v>
      </c>
      <c r="M306" s="118" t="s">
        <v>1801</v>
      </c>
      <c r="N306" s="90">
        <v>14000</v>
      </c>
      <c r="O306" s="91">
        <v>46218</v>
      </c>
      <c r="P306" s="90" t="s">
        <v>1577</v>
      </c>
      <c r="Q306" s="90">
        <v>80</v>
      </c>
      <c r="R306" s="90">
        <v>28570</v>
      </c>
      <c r="S306" s="130">
        <v>1186</v>
      </c>
      <c r="T306" s="90">
        <f t="shared" si="16"/>
        <v>27384</v>
      </c>
      <c r="U306" s="92">
        <f t="shared" si="17"/>
        <v>24894.545454545452</v>
      </c>
      <c r="V306" s="92">
        <f t="shared" si="18"/>
        <v>348523636.36363631</v>
      </c>
      <c r="W306" s="92">
        <f t="shared" si="19"/>
        <v>34852363.636363633</v>
      </c>
      <c r="Y306" s="115"/>
    </row>
    <row r="307" spans="1:25" s="94" customFormat="1" ht="30" customHeight="1">
      <c r="A307" s="85">
        <v>297</v>
      </c>
      <c r="B307" s="86" t="s">
        <v>50</v>
      </c>
      <c r="C307" s="127" t="s">
        <v>43</v>
      </c>
      <c r="D307" s="127" t="s">
        <v>51</v>
      </c>
      <c r="E307" s="127" t="s">
        <v>52</v>
      </c>
      <c r="F307" s="117" t="s">
        <v>49</v>
      </c>
      <c r="G307" s="88">
        <v>46224</v>
      </c>
      <c r="H307" s="85" t="s">
        <v>1802</v>
      </c>
      <c r="I307" s="88" t="s">
        <v>1803</v>
      </c>
      <c r="J307" s="89" t="s">
        <v>1804</v>
      </c>
      <c r="K307" s="89" t="s">
        <v>312</v>
      </c>
      <c r="L307" s="89" t="s">
        <v>1695</v>
      </c>
      <c r="M307" s="118" t="s">
        <v>1805</v>
      </c>
      <c r="N307" s="90">
        <v>6000</v>
      </c>
      <c r="O307" s="91">
        <v>46218</v>
      </c>
      <c r="P307" s="90" t="s">
        <v>1577</v>
      </c>
      <c r="Q307" s="90">
        <v>80</v>
      </c>
      <c r="R307" s="90">
        <v>28270</v>
      </c>
      <c r="S307" s="130">
        <v>400</v>
      </c>
      <c r="T307" s="90">
        <f t="shared" si="16"/>
        <v>27870</v>
      </c>
      <c r="U307" s="92">
        <f t="shared" si="17"/>
        <v>25336.363636363632</v>
      </c>
      <c r="V307" s="92">
        <f t="shared" si="18"/>
        <v>152018181.81818178</v>
      </c>
      <c r="W307" s="92">
        <f t="shared" si="19"/>
        <v>15201818.18181818</v>
      </c>
      <c r="Y307" s="115"/>
    </row>
    <row r="308" spans="1:25" s="94" customFormat="1" ht="30" customHeight="1">
      <c r="A308" s="85">
        <v>298</v>
      </c>
      <c r="B308" s="86" t="s">
        <v>50</v>
      </c>
      <c r="C308" s="127" t="s">
        <v>43</v>
      </c>
      <c r="D308" s="127" t="s">
        <v>51</v>
      </c>
      <c r="E308" s="127" t="s">
        <v>55</v>
      </c>
      <c r="F308" s="117" t="s">
        <v>49</v>
      </c>
      <c r="G308" s="88">
        <v>46224</v>
      </c>
      <c r="H308" s="87" t="s">
        <v>1813</v>
      </c>
      <c r="I308" s="88" t="s">
        <v>1814</v>
      </c>
      <c r="J308" s="89" t="s">
        <v>2603</v>
      </c>
      <c r="K308" s="89" t="s">
        <v>342</v>
      </c>
      <c r="L308" s="89" t="s">
        <v>1695</v>
      </c>
      <c r="M308" s="118" t="s">
        <v>1815</v>
      </c>
      <c r="N308" s="90">
        <v>400000</v>
      </c>
      <c r="O308" s="91">
        <v>46218</v>
      </c>
      <c r="P308" s="90" t="s">
        <v>1577</v>
      </c>
      <c r="Q308" s="90">
        <v>80</v>
      </c>
      <c r="R308" s="90">
        <v>28480</v>
      </c>
      <c r="S308" s="130">
        <v>5150</v>
      </c>
      <c r="T308" s="90">
        <f t="shared" si="16"/>
        <v>23330</v>
      </c>
      <c r="U308" s="92">
        <f t="shared" si="17"/>
        <v>21209.090909090904</v>
      </c>
      <c r="V308" s="92">
        <f t="shared" si="18"/>
        <v>8483636363.6363621</v>
      </c>
      <c r="W308" s="92">
        <f t="shared" si="19"/>
        <v>848363636.36363626</v>
      </c>
      <c r="Y308" s="115"/>
    </row>
    <row r="309" spans="1:25" s="94" customFormat="1" ht="30" customHeight="1">
      <c r="A309" s="85">
        <v>299</v>
      </c>
      <c r="B309" s="86" t="s">
        <v>50</v>
      </c>
      <c r="C309" s="127" t="s">
        <v>43</v>
      </c>
      <c r="D309" s="127" t="s">
        <v>51</v>
      </c>
      <c r="E309" s="127" t="s">
        <v>52</v>
      </c>
      <c r="F309" s="117" t="s">
        <v>49</v>
      </c>
      <c r="G309" s="88">
        <v>46224</v>
      </c>
      <c r="H309" s="87" t="s">
        <v>1816</v>
      </c>
      <c r="I309" s="88" t="s">
        <v>1817</v>
      </c>
      <c r="J309" s="89" t="s">
        <v>1818</v>
      </c>
      <c r="K309" s="89" t="s">
        <v>336</v>
      </c>
      <c r="L309" s="89" t="s">
        <v>1695</v>
      </c>
      <c r="M309" s="118" t="s">
        <v>1819</v>
      </c>
      <c r="N309" s="90">
        <v>20000</v>
      </c>
      <c r="O309" s="91">
        <v>46218</v>
      </c>
      <c r="P309" s="90" t="s">
        <v>1577</v>
      </c>
      <c r="Q309" s="90">
        <v>80</v>
      </c>
      <c r="R309" s="90">
        <v>28270</v>
      </c>
      <c r="S309" s="130">
        <v>4400</v>
      </c>
      <c r="T309" s="90">
        <f t="shared" si="16"/>
        <v>23870</v>
      </c>
      <c r="U309" s="92">
        <f t="shared" si="17"/>
        <v>21699.999999999996</v>
      </c>
      <c r="V309" s="92">
        <f t="shared" si="18"/>
        <v>433999999.99999994</v>
      </c>
      <c r="W309" s="92">
        <f t="shared" si="19"/>
        <v>43400000</v>
      </c>
      <c r="Y309" s="115"/>
    </row>
    <row r="310" spans="1:25" s="94" customFormat="1" ht="30" customHeight="1">
      <c r="A310" s="85">
        <v>300</v>
      </c>
      <c r="B310" s="86" t="s">
        <v>50</v>
      </c>
      <c r="C310" s="127" t="s">
        <v>43</v>
      </c>
      <c r="D310" s="127" t="s">
        <v>51</v>
      </c>
      <c r="E310" s="127" t="s">
        <v>61</v>
      </c>
      <c r="F310" s="117" t="s">
        <v>49</v>
      </c>
      <c r="G310" s="88">
        <v>46224</v>
      </c>
      <c r="H310" s="87" t="s">
        <v>1820</v>
      </c>
      <c r="I310" s="88" t="s">
        <v>1821</v>
      </c>
      <c r="J310" s="89" t="s">
        <v>2445</v>
      </c>
      <c r="K310" s="89" t="s">
        <v>1822</v>
      </c>
      <c r="L310" s="89" t="s">
        <v>1695</v>
      </c>
      <c r="M310" s="118" t="s">
        <v>1823</v>
      </c>
      <c r="N310" s="90">
        <v>20000</v>
      </c>
      <c r="O310" s="91">
        <v>46218</v>
      </c>
      <c r="P310" s="90" t="s">
        <v>1577</v>
      </c>
      <c r="Q310" s="90">
        <v>80</v>
      </c>
      <c r="R310" s="90">
        <v>28460</v>
      </c>
      <c r="S310" s="130">
        <v>4400</v>
      </c>
      <c r="T310" s="90">
        <f t="shared" si="16"/>
        <v>24060</v>
      </c>
      <c r="U310" s="92">
        <f t="shared" si="17"/>
        <v>21872.727272727268</v>
      </c>
      <c r="V310" s="92">
        <f t="shared" si="18"/>
        <v>437454545.45454538</v>
      </c>
      <c r="W310" s="92">
        <f t="shared" si="19"/>
        <v>43745454.545454539</v>
      </c>
      <c r="Y310" s="115"/>
    </row>
    <row r="311" spans="1:25" s="94" customFormat="1" ht="30" customHeight="1">
      <c r="A311" s="85">
        <v>301</v>
      </c>
      <c r="B311" s="86" t="s">
        <v>50</v>
      </c>
      <c r="C311" s="127" t="s">
        <v>43</v>
      </c>
      <c r="D311" s="127" t="s">
        <v>51</v>
      </c>
      <c r="E311" s="127" t="s">
        <v>53</v>
      </c>
      <c r="F311" s="117" t="s">
        <v>49</v>
      </c>
      <c r="G311" s="88">
        <v>46224</v>
      </c>
      <c r="H311" s="87" t="s">
        <v>1824</v>
      </c>
      <c r="I311" s="88" t="s">
        <v>1825</v>
      </c>
      <c r="J311" s="89" t="s">
        <v>2307</v>
      </c>
      <c r="K311" s="89" t="s">
        <v>356</v>
      </c>
      <c r="L311" s="89" t="s">
        <v>1695</v>
      </c>
      <c r="M311" s="118" t="s">
        <v>1826</v>
      </c>
      <c r="N311" s="90">
        <v>20000</v>
      </c>
      <c r="O311" s="91">
        <v>46218</v>
      </c>
      <c r="P311" s="90" t="s">
        <v>1577</v>
      </c>
      <c r="Q311" s="90">
        <v>80</v>
      </c>
      <c r="R311" s="90">
        <v>28300</v>
      </c>
      <c r="S311" s="130">
        <v>4400</v>
      </c>
      <c r="T311" s="90">
        <f t="shared" si="16"/>
        <v>23900</v>
      </c>
      <c r="U311" s="92">
        <f t="shared" si="17"/>
        <v>21727.272727272724</v>
      </c>
      <c r="V311" s="92">
        <f t="shared" si="18"/>
        <v>434545454.5454545</v>
      </c>
      <c r="W311" s="92">
        <f t="shared" si="19"/>
        <v>43454545.454545453</v>
      </c>
      <c r="Y311" s="115"/>
    </row>
    <row r="312" spans="1:25" s="94" customFormat="1" ht="30" customHeight="1">
      <c r="A312" s="85">
        <v>302</v>
      </c>
      <c r="B312" s="86" t="s">
        <v>50</v>
      </c>
      <c r="C312" s="127" t="s">
        <v>43</v>
      </c>
      <c r="D312" s="127" t="s">
        <v>51</v>
      </c>
      <c r="E312" s="127" t="s">
        <v>53</v>
      </c>
      <c r="F312" s="117" t="s">
        <v>49</v>
      </c>
      <c r="G312" s="88">
        <v>46224</v>
      </c>
      <c r="H312" s="87" t="s">
        <v>1827</v>
      </c>
      <c r="I312" s="88" t="s">
        <v>1828</v>
      </c>
      <c r="J312" s="89" t="s">
        <v>2309</v>
      </c>
      <c r="K312" s="89" t="s">
        <v>358</v>
      </c>
      <c r="L312" s="89" t="s">
        <v>1695</v>
      </c>
      <c r="M312" s="118" t="s">
        <v>1576</v>
      </c>
      <c r="N312" s="90">
        <v>20000</v>
      </c>
      <c r="O312" s="91">
        <v>46218</v>
      </c>
      <c r="P312" s="90" t="s">
        <v>1577</v>
      </c>
      <c r="Q312" s="90">
        <v>80</v>
      </c>
      <c r="R312" s="90">
        <v>28300</v>
      </c>
      <c r="S312" s="130">
        <v>4400</v>
      </c>
      <c r="T312" s="90">
        <f t="shared" si="16"/>
        <v>23900</v>
      </c>
      <c r="U312" s="92">
        <f t="shared" si="17"/>
        <v>21727.272727272724</v>
      </c>
      <c r="V312" s="92">
        <f t="shared" si="18"/>
        <v>434545454.5454545</v>
      </c>
      <c r="W312" s="92">
        <f t="shared" si="19"/>
        <v>43454545.454545453</v>
      </c>
      <c r="Y312" s="115"/>
    </row>
    <row r="313" spans="1:25" s="94" customFormat="1" ht="30" customHeight="1">
      <c r="A313" s="85">
        <v>303</v>
      </c>
      <c r="B313" s="86" t="s">
        <v>50</v>
      </c>
      <c r="C313" s="127" t="s">
        <v>43</v>
      </c>
      <c r="D313" s="127" t="s">
        <v>51</v>
      </c>
      <c r="E313" s="127" t="s">
        <v>55</v>
      </c>
      <c r="F313" s="117" t="s">
        <v>49</v>
      </c>
      <c r="G313" s="88">
        <v>46224</v>
      </c>
      <c r="H313" s="87" t="s">
        <v>1829</v>
      </c>
      <c r="I313" s="88" t="s">
        <v>1830</v>
      </c>
      <c r="J313" s="89" t="s">
        <v>2604</v>
      </c>
      <c r="K313" s="89" t="s">
        <v>1837</v>
      </c>
      <c r="L313" s="89" t="s">
        <v>1695</v>
      </c>
      <c r="M313" s="118" t="s">
        <v>1838</v>
      </c>
      <c r="N313" s="90">
        <v>40000</v>
      </c>
      <c r="O313" s="91">
        <v>46218</v>
      </c>
      <c r="P313" s="90" t="s">
        <v>1577</v>
      </c>
      <c r="Q313" s="90">
        <v>80</v>
      </c>
      <c r="R313" s="90">
        <v>28300</v>
      </c>
      <c r="S313" s="130">
        <v>4400</v>
      </c>
      <c r="T313" s="90">
        <f t="shared" si="16"/>
        <v>23900</v>
      </c>
      <c r="U313" s="92">
        <f t="shared" si="17"/>
        <v>21727.272727272724</v>
      </c>
      <c r="V313" s="92">
        <f t="shared" si="18"/>
        <v>869090909.090909</v>
      </c>
      <c r="W313" s="92">
        <f t="shared" si="19"/>
        <v>86909090.909090906</v>
      </c>
      <c r="Y313" s="115"/>
    </row>
    <row r="314" spans="1:25" s="94" customFormat="1" ht="30" customHeight="1">
      <c r="A314" s="85">
        <v>304</v>
      </c>
      <c r="B314" s="86" t="s">
        <v>50</v>
      </c>
      <c r="C314" s="127" t="s">
        <v>43</v>
      </c>
      <c r="D314" s="127" t="s">
        <v>51</v>
      </c>
      <c r="E314" s="127" t="s">
        <v>52</v>
      </c>
      <c r="F314" s="117" t="s">
        <v>49</v>
      </c>
      <c r="G314" s="88">
        <v>46224</v>
      </c>
      <c r="H314" s="87" t="s">
        <v>1855</v>
      </c>
      <c r="I314" s="88" t="s">
        <v>1833</v>
      </c>
      <c r="J314" s="89" t="s">
        <v>1856</v>
      </c>
      <c r="K314" s="89" t="s">
        <v>1857</v>
      </c>
      <c r="L314" s="89" t="s">
        <v>1695</v>
      </c>
      <c r="M314" s="118" t="s">
        <v>1858</v>
      </c>
      <c r="N314" s="90">
        <v>20000</v>
      </c>
      <c r="O314" s="91">
        <v>46218</v>
      </c>
      <c r="P314" s="90" t="s">
        <v>1577</v>
      </c>
      <c r="Q314" s="90">
        <v>80</v>
      </c>
      <c r="R314" s="90">
        <v>28570</v>
      </c>
      <c r="S314" s="130">
        <v>5200</v>
      </c>
      <c r="T314" s="90">
        <f t="shared" si="16"/>
        <v>23370</v>
      </c>
      <c r="U314" s="92">
        <f t="shared" si="17"/>
        <v>21245.45454545454</v>
      </c>
      <c r="V314" s="92">
        <f t="shared" si="18"/>
        <v>424909090.90909082</v>
      </c>
      <c r="W314" s="92">
        <f t="shared" si="19"/>
        <v>42490909.090909086</v>
      </c>
      <c r="Y314" s="115"/>
    </row>
    <row r="315" spans="1:25" s="94" customFormat="1" ht="30" customHeight="1">
      <c r="A315" s="85">
        <v>305</v>
      </c>
      <c r="B315" s="86" t="s">
        <v>50</v>
      </c>
      <c r="C315" s="127" t="s">
        <v>43</v>
      </c>
      <c r="D315" s="127" t="s">
        <v>51</v>
      </c>
      <c r="E315" s="127" t="s">
        <v>53</v>
      </c>
      <c r="F315" s="117" t="s">
        <v>49</v>
      </c>
      <c r="G315" s="88">
        <v>46224</v>
      </c>
      <c r="H315" s="87" t="s">
        <v>1859</v>
      </c>
      <c r="I315" s="88" t="s">
        <v>1834</v>
      </c>
      <c r="J315" s="89" t="s">
        <v>2308</v>
      </c>
      <c r="K315" s="89" t="s">
        <v>1860</v>
      </c>
      <c r="L315" s="89" t="s">
        <v>1695</v>
      </c>
      <c r="M315" s="118" t="s">
        <v>1861</v>
      </c>
      <c r="N315" s="90">
        <v>40000</v>
      </c>
      <c r="O315" s="91">
        <v>46218</v>
      </c>
      <c r="P315" s="90" t="s">
        <v>1577</v>
      </c>
      <c r="Q315" s="90">
        <v>80</v>
      </c>
      <c r="R315" s="90">
        <v>28300</v>
      </c>
      <c r="S315" s="130">
        <v>4400</v>
      </c>
      <c r="T315" s="90">
        <f t="shared" si="16"/>
        <v>23900</v>
      </c>
      <c r="U315" s="92">
        <f t="shared" si="17"/>
        <v>21727.272727272724</v>
      </c>
      <c r="V315" s="92">
        <f t="shared" si="18"/>
        <v>869090909.090909</v>
      </c>
      <c r="W315" s="92">
        <f t="shared" si="19"/>
        <v>86909090.909090906</v>
      </c>
      <c r="Y315" s="115"/>
    </row>
    <row r="316" spans="1:25" s="94" customFormat="1" ht="30" customHeight="1">
      <c r="A316" s="85">
        <v>306</v>
      </c>
      <c r="B316" s="86" t="s">
        <v>50</v>
      </c>
      <c r="C316" s="127" t="s">
        <v>43</v>
      </c>
      <c r="D316" s="127" t="s">
        <v>51</v>
      </c>
      <c r="E316" s="127" t="s">
        <v>54</v>
      </c>
      <c r="F316" s="117" t="s">
        <v>49</v>
      </c>
      <c r="G316" s="88">
        <v>46225</v>
      </c>
      <c r="H316" s="87" t="s">
        <v>1867</v>
      </c>
      <c r="I316" s="88" t="s">
        <v>1835</v>
      </c>
      <c r="J316" s="89" t="s">
        <v>2521</v>
      </c>
      <c r="K316" s="89" t="s">
        <v>1873</v>
      </c>
      <c r="L316" s="89" t="s">
        <v>1866</v>
      </c>
      <c r="M316" s="118" t="s">
        <v>1874</v>
      </c>
      <c r="N316" s="90">
        <v>60000</v>
      </c>
      <c r="O316" s="91">
        <v>46218</v>
      </c>
      <c r="P316" s="90" t="s">
        <v>1577</v>
      </c>
      <c r="Q316" s="90">
        <v>80</v>
      </c>
      <c r="R316" s="90">
        <v>28810</v>
      </c>
      <c r="S316" s="130">
        <v>4400</v>
      </c>
      <c r="T316" s="90">
        <f t="shared" si="16"/>
        <v>24410</v>
      </c>
      <c r="U316" s="92">
        <f t="shared" si="17"/>
        <v>22190.909090909088</v>
      </c>
      <c r="V316" s="92">
        <f t="shared" si="18"/>
        <v>1331454545.4545453</v>
      </c>
      <c r="W316" s="92">
        <f t="shared" si="19"/>
        <v>133145454.54545453</v>
      </c>
      <c r="Y316" s="115"/>
    </row>
    <row r="317" spans="1:25" s="94" customFormat="1" ht="30" customHeight="1">
      <c r="A317" s="85">
        <v>307</v>
      </c>
      <c r="B317" s="86" t="s">
        <v>50</v>
      </c>
      <c r="C317" s="127" t="s">
        <v>43</v>
      </c>
      <c r="D317" s="127" t="s">
        <v>51</v>
      </c>
      <c r="E317" s="127" t="s">
        <v>55</v>
      </c>
      <c r="F317" s="117" t="s">
        <v>49</v>
      </c>
      <c r="G317" s="88">
        <v>46225</v>
      </c>
      <c r="H317" s="87" t="s">
        <v>1875</v>
      </c>
      <c r="I317" s="88" t="s">
        <v>1836</v>
      </c>
      <c r="J317" s="89" t="s">
        <v>2607</v>
      </c>
      <c r="K317" s="89" t="s">
        <v>1876</v>
      </c>
      <c r="L317" s="89" t="s">
        <v>1866</v>
      </c>
      <c r="M317" s="118" t="s">
        <v>1877</v>
      </c>
      <c r="N317" s="90">
        <v>60000</v>
      </c>
      <c r="O317" s="91">
        <v>46218</v>
      </c>
      <c r="P317" s="90" t="s">
        <v>1577</v>
      </c>
      <c r="Q317" s="90">
        <v>80</v>
      </c>
      <c r="R317" s="90">
        <v>25610</v>
      </c>
      <c r="S317" s="130">
        <v>4224</v>
      </c>
      <c r="T317" s="90">
        <f t="shared" si="16"/>
        <v>21386</v>
      </c>
      <c r="U317" s="92">
        <f t="shared" si="17"/>
        <v>19441.81818181818</v>
      </c>
      <c r="V317" s="92">
        <f t="shared" si="18"/>
        <v>1166509090.9090908</v>
      </c>
      <c r="W317" s="92">
        <f t="shared" si="19"/>
        <v>116650909.09090908</v>
      </c>
      <c r="Y317" s="115"/>
    </row>
    <row r="318" spans="1:25" s="94" customFormat="1" ht="30" customHeight="1">
      <c r="A318" s="85">
        <v>308</v>
      </c>
      <c r="B318" s="86" t="s">
        <v>50</v>
      </c>
      <c r="C318" s="127" t="s">
        <v>43</v>
      </c>
      <c r="D318" s="127" t="s">
        <v>51</v>
      </c>
      <c r="E318" s="127" t="s">
        <v>55</v>
      </c>
      <c r="F318" s="117" t="s">
        <v>49</v>
      </c>
      <c r="G318" s="88">
        <v>46224</v>
      </c>
      <c r="H318" s="87" t="s">
        <v>1885</v>
      </c>
      <c r="I318" s="88" t="s">
        <v>1868</v>
      </c>
      <c r="J318" s="89" t="s">
        <v>2605</v>
      </c>
      <c r="K318" s="89" t="s">
        <v>1886</v>
      </c>
      <c r="L318" s="89" t="s">
        <v>1695</v>
      </c>
      <c r="M318" s="118" t="s">
        <v>1887</v>
      </c>
      <c r="N318" s="90">
        <v>400000</v>
      </c>
      <c r="O318" s="91">
        <v>46218</v>
      </c>
      <c r="P318" s="90" t="s">
        <v>1577</v>
      </c>
      <c r="Q318" s="90">
        <v>80</v>
      </c>
      <c r="R318" s="90">
        <v>28730</v>
      </c>
      <c r="S318" s="130">
        <v>5056</v>
      </c>
      <c r="T318" s="90">
        <f t="shared" si="16"/>
        <v>23674</v>
      </c>
      <c r="U318" s="92">
        <f t="shared" si="17"/>
        <v>21521.81818181818</v>
      </c>
      <c r="V318" s="92">
        <f t="shared" si="18"/>
        <v>8608727272.727272</v>
      </c>
      <c r="W318" s="92">
        <f t="shared" si="19"/>
        <v>860872727.27272725</v>
      </c>
      <c r="Y318" s="115"/>
    </row>
    <row r="319" spans="1:25" s="94" customFormat="1" ht="30" customHeight="1">
      <c r="A319" s="85">
        <v>309</v>
      </c>
      <c r="B319" s="86" t="s">
        <v>1896</v>
      </c>
      <c r="C319" s="127" t="s">
        <v>43</v>
      </c>
      <c r="D319" s="127" t="s">
        <v>51</v>
      </c>
      <c r="E319" s="127" t="s">
        <v>55</v>
      </c>
      <c r="F319" s="117" t="s">
        <v>376</v>
      </c>
      <c r="G319" s="88">
        <v>46225</v>
      </c>
      <c r="H319" s="87" t="s">
        <v>1897</v>
      </c>
      <c r="I319" s="88" t="s">
        <v>1899</v>
      </c>
      <c r="J319" s="89" t="s">
        <v>2609</v>
      </c>
      <c r="K319" s="89" t="s">
        <v>1900</v>
      </c>
      <c r="L319" s="89" t="s">
        <v>1866</v>
      </c>
      <c r="M319" s="118"/>
      <c r="N319" s="90">
        <v>40000</v>
      </c>
      <c r="O319" s="91">
        <v>46218</v>
      </c>
      <c r="P319" s="90" t="s">
        <v>1577</v>
      </c>
      <c r="Q319" s="90">
        <v>80</v>
      </c>
      <c r="R319" s="90">
        <v>28330</v>
      </c>
      <c r="S319" s="130">
        <v>4000</v>
      </c>
      <c r="T319" s="90">
        <f t="shared" si="16"/>
        <v>24330</v>
      </c>
      <c r="U319" s="92">
        <f t="shared" si="17"/>
        <v>22118.181818181816</v>
      </c>
      <c r="V319" s="92">
        <f t="shared" si="18"/>
        <v>884727272.72727263</v>
      </c>
      <c r="W319" s="92">
        <f t="shared" si="19"/>
        <v>88472727.272727266</v>
      </c>
      <c r="Y319" s="115"/>
    </row>
    <row r="320" spans="1:25" s="94" customFormat="1" ht="30" customHeight="1">
      <c r="A320" s="85">
        <v>310</v>
      </c>
      <c r="B320" s="86" t="s">
        <v>1896</v>
      </c>
      <c r="C320" s="127" t="s">
        <v>43</v>
      </c>
      <c r="D320" s="127" t="s">
        <v>51</v>
      </c>
      <c r="E320" s="127" t="s">
        <v>55</v>
      </c>
      <c r="F320" s="117" t="s">
        <v>376</v>
      </c>
      <c r="G320" s="88">
        <v>46225</v>
      </c>
      <c r="H320" s="87" t="s">
        <v>1898</v>
      </c>
      <c r="I320" s="88" t="s">
        <v>1869</v>
      </c>
      <c r="J320" s="89" t="s">
        <v>2608</v>
      </c>
      <c r="K320" s="89" t="s">
        <v>1900</v>
      </c>
      <c r="L320" s="89" t="s">
        <v>1866</v>
      </c>
      <c r="M320" s="118"/>
      <c r="N320" s="90">
        <v>20000</v>
      </c>
      <c r="O320" s="91">
        <v>46218</v>
      </c>
      <c r="P320" s="90" t="s">
        <v>1577</v>
      </c>
      <c r="Q320" s="90">
        <v>80</v>
      </c>
      <c r="R320" s="90">
        <v>28330</v>
      </c>
      <c r="S320" s="130">
        <v>4000</v>
      </c>
      <c r="T320" s="90">
        <f t="shared" si="16"/>
        <v>24330</v>
      </c>
      <c r="U320" s="92">
        <f t="shared" si="17"/>
        <v>22118.181818181816</v>
      </c>
      <c r="V320" s="92">
        <f t="shared" si="18"/>
        <v>442363636.36363631</v>
      </c>
      <c r="W320" s="92">
        <f t="shared" si="19"/>
        <v>44236363.636363633</v>
      </c>
      <c r="Y320" s="115"/>
    </row>
    <row r="321" spans="1:25" s="94" customFormat="1" ht="30" customHeight="1">
      <c r="A321" s="85">
        <v>311</v>
      </c>
      <c r="B321" s="86" t="s">
        <v>50</v>
      </c>
      <c r="C321" s="127" t="s">
        <v>43</v>
      </c>
      <c r="D321" s="127" t="s">
        <v>51</v>
      </c>
      <c r="E321" s="127" t="s">
        <v>55</v>
      </c>
      <c r="F321" s="117" t="s">
        <v>49</v>
      </c>
      <c r="G321" s="88">
        <v>46225</v>
      </c>
      <c r="H321" s="87" t="s">
        <v>1901</v>
      </c>
      <c r="I321" s="88" t="s">
        <v>1870</v>
      </c>
      <c r="J321" s="89" t="s">
        <v>2606</v>
      </c>
      <c r="K321" s="89" t="s">
        <v>1903</v>
      </c>
      <c r="L321" s="89" t="s">
        <v>1866</v>
      </c>
      <c r="M321" s="118" t="s">
        <v>1904</v>
      </c>
      <c r="N321" s="90">
        <v>40000</v>
      </c>
      <c r="O321" s="91">
        <v>46218</v>
      </c>
      <c r="P321" s="90" t="s">
        <v>1577</v>
      </c>
      <c r="Q321" s="90">
        <v>80</v>
      </c>
      <c r="R321" s="90">
        <v>28300</v>
      </c>
      <c r="S321" s="130">
        <v>4400</v>
      </c>
      <c r="T321" s="90">
        <f t="shared" si="16"/>
        <v>23900</v>
      </c>
      <c r="U321" s="92">
        <f t="shared" si="17"/>
        <v>21727.272727272724</v>
      </c>
      <c r="V321" s="92">
        <f t="shared" si="18"/>
        <v>869090909.090909</v>
      </c>
      <c r="W321" s="92">
        <f t="shared" si="19"/>
        <v>86909090.909090906</v>
      </c>
      <c r="Y321" s="115"/>
    </row>
    <row r="322" spans="1:25" s="94" customFormat="1" ht="30" customHeight="1">
      <c r="A322" s="85">
        <v>312</v>
      </c>
      <c r="B322" s="86" t="s">
        <v>50</v>
      </c>
      <c r="C322" s="127" t="s">
        <v>43</v>
      </c>
      <c r="D322" s="127" t="s">
        <v>51</v>
      </c>
      <c r="E322" s="127" t="s">
        <v>54</v>
      </c>
      <c r="F322" s="117" t="s">
        <v>49</v>
      </c>
      <c r="G322" s="88">
        <v>46225</v>
      </c>
      <c r="H322" s="87" t="s">
        <v>1905</v>
      </c>
      <c r="I322" s="88" t="s">
        <v>1871</v>
      </c>
      <c r="J322" s="89" t="s">
        <v>2522</v>
      </c>
      <c r="K322" s="89" t="s">
        <v>1906</v>
      </c>
      <c r="L322" s="89" t="s">
        <v>1866</v>
      </c>
      <c r="M322" s="118" t="s">
        <v>1907</v>
      </c>
      <c r="N322" s="90">
        <v>60000</v>
      </c>
      <c r="O322" s="91">
        <v>46218</v>
      </c>
      <c r="P322" s="90" t="s">
        <v>1577</v>
      </c>
      <c r="Q322" s="90">
        <v>80</v>
      </c>
      <c r="R322" s="90">
        <v>28540</v>
      </c>
      <c r="S322" s="130">
        <v>4400</v>
      </c>
      <c r="T322" s="90">
        <f t="shared" si="16"/>
        <v>24140</v>
      </c>
      <c r="U322" s="92">
        <f t="shared" si="17"/>
        <v>21945.45454545454</v>
      </c>
      <c r="V322" s="92">
        <f t="shared" si="18"/>
        <v>1316727272.7272725</v>
      </c>
      <c r="W322" s="92">
        <f t="shared" si="19"/>
        <v>131672727.27272725</v>
      </c>
      <c r="Y322" s="115"/>
    </row>
    <row r="323" spans="1:25" s="94" customFormat="1" ht="30" customHeight="1">
      <c r="A323" s="85">
        <v>313</v>
      </c>
      <c r="B323" s="86" t="s">
        <v>50</v>
      </c>
      <c r="C323" s="127" t="s">
        <v>43</v>
      </c>
      <c r="D323" s="127" t="s">
        <v>51</v>
      </c>
      <c r="E323" s="127" t="s">
        <v>53</v>
      </c>
      <c r="F323" s="117" t="s">
        <v>49</v>
      </c>
      <c r="G323" s="88">
        <v>46225</v>
      </c>
      <c r="H323" s="87" t="s">
        <v>1908</v>
      </c>
      <c r="I323" s="88" t="s">
        <v>1872</v>
      </c>
      <c r="J323" s="89" t="s">
        <v>2310</v>
      </c>
      <c r="K323" s="89" t="s">
        <v>1909</v>
      </c>
      <c r="L323" s="89" t="s">
        <v>1866</v>
      </c>
      <c r="M323" s="118" t="s">
        <v>1910</v>
      </c>
      <c r="N323" s="90">
        <v>8000</v>
      </c>
      <c r="O323" s="91">
        <v>46218</v>
      </c>
      <c r="P323" s="90" t="s">
        <v>1577</v>
      </c>
      <c r="Q323" s="90">
        <v>80</v>
      </c>
      <c r="R323" s="90">
        <v>28300</v>
      </c>
      <c r="S323" s="130">
        <v>4400</v>
      </c>
      <c r="T323" s="90">
        <f t="shared" si="16"/>
        <v>23900</v>
      </c>
      <c r="U323" s="92">
        <f t="shared" si="17"/>
        <v>21727.272727272724</v>
      </c>
      <c r="V323" s="92">
        <f t="shared" si="18"/>
        <v>173818181.81818178</v>
      </c>
      <c r="W323" s="92">
        <f t="shared" si="19"/>
        <v>17381818.18181818</v>
      </c>
      <c r="Y323" s="115"/>
    </row>
    <row r="324" spans="1:25" s="94" customFormat="1" ht="30" customHeight="1">
      <c r="A324" s="85">
        <v>314</v>
      </c>
      <c r="B324" s="86" t="s">
        <v>50</v>
      </c>
      <c r="C324" s="127" t="s">
        <v>43</v>
      </c>
      <c r="D324" s="127" t="s">
        <v>51</v>
      </c>
      <c r="E324" s="127" t="s">
        <v>52</v>
      </c>
      <c r="F324" s="117" t="s">
        <v>49</v>
      </c>
      <c r="G324" s="88">
        <v>46225</v>
      </c>
      <c r="H324" s="87" t="s">
        <v>1911</v>
      </c>
      <c r="I324" s="88" t="s">
        <v>1902</v>
      </c>
      <c r="J324" s="89" t="s">
        <v>1912</v>
      </c>
      <c r="K324" s="89" t="s">
        <v>1913</v>
      </c>
      <c r="L324" s="89" t="s">
        <v>1866</v>
      </c>
      <c r="M324" s="118" t="s">
        <v>1914</v>
      </c>
      <c r="N324" s="90">
        <v>60000</v>
      </c>
      <c r="O324" s="91">
        <v>46218</v>
      </c>
      <c r="P324" s="90" t="s">
        <v>1577</v>
      </c>
      <c r="Q324" s="90">
        <v>80</v>
      </c>
      <c r="R324" s="90">
        <v>28270</v>
      </c>
      <c r="S324" s="130">
        <v>4400</v>
      </c>
      <c r="T324" s="90">
        <f t="shared" si="16"/>
        <v>23870</v>
      </c>
      <c r="U324" s="92">
        <f t="shared" si="17"/>
        <v>21699.999999999996</v>
      </c>
      <c r="V324" s="92">
        <f t="shared" si="18"/>
        <v>1301999999.9999998</v>
      </c>
      <c r="W324" s="92">
        <f t="shared" si="19"/>
        <v>130199999.99999999</v>
      </c>
      <c r="Y324" s="115"/>
    </row>
    <row r="325" spans="1:25" s="94" customFormat="1" ht="30" customHeight="1">
      <c r="A325" s="85">
        <v>315</v>
      </c>
      <c r="B325" s="86" t="s">
        <v>50</v>
      </c>
      <c r="C325" s="127" t="s">
        <v>43</v>
      </c>
      <c r="D325" s="127" t="s">
        <v>51</v>
      </c>
      <c r="E325" s="127" t="s">
        <v>53</v>
      </c>
      <c r="F325" s="117" t="s">
        <v>49</v>
      </c>
      <c r="G325" s="88">
        <v>46225</v>
      </c>
      <c r="H325" s="87" t="s">
        <v>1915</v>
      </c>
      <c r="I325" s="88" t="s">
        <v>1924</v>
      </c>
      <c r="J325" s="89" t="s">
        <v>2311</v>
      </c>
      <c r="K325" s="89" t="s">
        <v>1925</v>
      </c>
      <c r="L325" s="89" t="s">
        <v>1866</v>
      </c>
      <c r="M325" s="118" t="s">
        <v>1926</v>
      </c>
      <c r="N325" s="90">
        <v>100000</v>
      </c>
      <c r="O325" s="91">
        <v>46218</v>
      </c>
      <c r="P325" s="90" t="s">
        <v>1577</v>
      </c>
      <c r="Q325" s="90">
        <v>80</v>
      </c>
      <c r="R325" s="90">
        <v>28300</v>
      </c>
      <c r="S325" s="130">
        <v>5300</v>
      </c>
      <c r="T325" s="90">
        <f t="shared" si="16"/>
        <v>23000</v>
      </c>
      <c r="U325" s="92">
        <f t="shared" si="17"/>
        <v>20909.090909090904</v>
      </c>
      <c r="V325" s="92">
        <f t="shared" si="18"/>
        <v>2090909090.9090905</v>
      </c>
      <c r="W325" s="92">
        <f t="shared" si="19"/>
        <v>209090909.09090906</v>
      </c>
      <c r="Y325" s="115"/>
    </row>
    <row r="326" spans="1:25" s="94" customFormat="1" ht="30" customHeight="1">
      <c r="A326" s="85">
        <v>316</v>
      </c>
      <c r="B326" s="86" t="s">
        <v>50</v>
      </c>
      <c r="C326" s="127" t="s">
        <v>43</v>
      </c>
      <c r="D326" s="127" t="s">
        <v>51</v>
      </c>
      <c r="E326" s="127" t="s">
        <v>61</v>
      </c>
      <c r="F326" s="117" t="s">
        <v>49</v>
      </c>
      <c r="G326" s="88">
        <v>46225</v>
      </c>
      <c r="H326" s="87" t="s">
        <v>1960</v>
      </c>
      <c r="I326" s="88" t="s">
        <v>1961</v>
      </c>
      <c r="J326" s="89" t="s">
        <v>2446</v>
      </c>
      <c r="K326" s="89" t="s">
        <v>1962</v>
      </c>
      <c r="L326" s="89" t="s">
        <v>1866</v>
      </c>
      <c r="M326" s="118" t="s">
        <v>1963</v>
      </c>
      <c r="N326" s="90">
        <v>20000</v>
      </c>
      <c r="O326" s="91">
        <v>46218</v>
      </c>
      <c r="P326" s="90" t="s">
        <v>1577</v>
      </c>
      <c r="Q326" s="90">
        <v>80</v>
      </c>
      <c r="R326" s="90">
        <v>28460</v>
      </c>
      <c r="S326" s="130">
        <v>4400</v>
      </c>
      <c r="T326" s="90">
        <f t="shared" si="16"/>
        <v>24060</v>
      </c>
      <c r="U326" s="92">
        <f t="shared" si="17"/>
        <v>21872.727272727268</v>
      </c>
      <c r="V326" s="92">
        <f t="shared" si="18"/>
        <v>437454545.45454538</v>
      </c>
      <c r="W326" s="92">
        <f t="shared" si="19"/>
        <v>43745454.545454539</v>
      </c>
      <c r="Y326" s="115"/>
    </row>
    <row r="327" spans="1:25" s="94" customFormat="1" ht="30" customHeight="1">
      <c r="A327" s="85">
        <v>317</v>
      </c>
      <c r="B327" s="86" t="s">
        <v>50</v>
      </c>
      <c r="C327" s="127" t="s">
        <v>43</v>
      </c>
      <c r="D327" s="127" t="s">
        <v>51</v>
      </c>
      <c r="E327" s="127" t="s">
        <v>52</v>
      </c>
      <c r="F327" s="117" t="s">
        <v>49</v>
      </c>
      <c r="G327" s="88">
        <v>46225</v>
      </c>
      <c r="H327" s="87" t="s">
        <v>1915</v>
      </c>
      <c r="I327" s="88" t="s">
        <v>1916</v>
      </c>
      <c r="J327" s="89" t="s">
        <v>1922</v>
      </c>
      <c r="K327" s="89" t="s">
        <v>1917</v>
      </c>
      <c r="L327" s="89" t="s">
        <v>1695</v>
      </c>
      <c r="M327" s="118" t="s">
        <v>1918</v>
      </c>
      <c r="N327" s="90">
        <v>8000</v>
      </c>
      <c r="O327" s="91">
        <v>46218</v>
      </c>
      <c r="P327" s="90" t="s">
        <v>1577</v>
      </c>
      <c r="Q327" s="90">
        <v>80</v>
      </c>
      <c r="R327" s="90">
        <v>28270</v>
      </c>
      <c r="S327" s="130">
        <v>4400</v>
      </c>
      <c r="T327" s="90">
        <f t="shared" si="16"/>
        <v>23870</v>
      </c>
      <c r="U327" s="92">
        <f t="shared" si="17"/>
        <v>21699.999999999996</v>
      </c>
      <c r="V327" s="92">
        <f t="shared" si="18"/>
        <v>173599999.99999997</v>
      </c>
      <c r="W327" s="92">
        <f t="shared" si="19"/>
        <v>17359999.999999996</v>
      </c>
      <c r="Y327" s="115"/>
    </row>
    <row r="328" spans="1:25" s="94" customFormat="1" ht="30" customHeight="1">
      <c r="A328" s="85">
        <v>318</v>
      </c>
      <c r="B328" s="86" t="s">
        <v>50</v>
      </c>
      <c r="C328" s="127" t="s">
        <v>43</v>
      </c>
      <c r="D328" s="127" t="s">
        <v>51</v>
      </c>
      <c r="E328" s="127" t="s">
        <v>54</v>
      </c>
      <c r="F328" s="117" t="s">
        <v>49</v>
      </c>
      <c r="G328" s="88">
        <v>46225</v>
      </c>
      <c r="H328" s="87" t="s">
        <v>1919</v>
      </c>
      <c r="I328" s="88" t="s">
        <v>1920</v>
      </c>
      <c r="J328" s="89" t="s">
        <v>2523</v>
      </c>
      <c r="K328" s="89" t="s">
        <v>1921</v>
      </c>
      <c r="L328" s="89" t="s">
        <v>1866</v>
      </c>
      <c r="M328" s="118" t="s">
        <v>1923</v>
      </c>
      <c r="N328" s="90">
        <v>20000</v>
      </c>
      <c r="O328" s="91">
        <v>46218</v>
      </c>
      <c r="P328" s="90" t="s">
        <v>1577</v>
      </c>
      <c r="Q328" s="90">
        <v>80</v>
      </c>
      <c r="R328" s="90">
        <v>28820</v>
      </c>
      <c r="S328" s="130">
        <v>4400</v>
      </c>
      <c r="T328" s="90">
        <f t="shared" si="16"/>
        <v>24420</v>
      </c>
      <c r="U328" s="92">
        <f t="shared" si="17"/>
        <v>22199.999999999996</v>
      </c>
      <c r="V328" s="92">
        <f t="shared" si="18"/>
        <v>443999999.99999994</v>
      </c>
      <c r="W328" s="92">
        <f t="shared" si="19"/>
        <v>44400000</v>
      </c>
      <c r="Y328" s="115"/>
    </row>
    <row r="329" spans="1:25" s="94" customFormat="1" ht="30" customHeight="1">
      <c r="A329" s="85">
        <v>319</v>
      </c>
      <c r="B329" s="86" t="s">
        <v>50</v>
      </c>
      <c r="C329" s="127" t="s">
        <v>43</v>
      </c>
      <c r="D329" s="127" t="s">
        <v>51</v>
      </c>
      <c r="E329" s="127" t="s">
        <v>61</v>
      </c>
      <c r="F329" s="117" t="s">
        <v>49</v>
      </c>
      <c r="G329" s="88">
        <v>46225</v>
      </c>
      <c r="H329" s="87" t="s">
        <v>1956</v>
      </c>
      <c r="I329" s="88" t="s">
        <v>1957</v>
      </c>
      <c r="J329" s="89" t="s">
        <v>2447</v>
      </c>
      <c r="K329" s="89" t="s">
        <v>1958</v>
      </c>
      <c r="L329" s="89" t="s">
        <v>1866</v>
      </c>
      <c r="M329" s="118" t="s">
        <v>1959</v>
      </c>
      <c r="N329" s="90">
        <v>40000</v>
      </c>
      <c r="O329" s="91">
        <v>46218</v>
      </c>
      <c r="P329" s="90" t="s">
        <v>1577</v>
      </c>
      <c r="Q329" s="90">
        <v>80</v>
      </c>
      <c r="R329" s="90">
        <v>28460</v>
      </c>
      <c r="S329" s="130">
        <v>4400</v>
      </c>
      <c r="T329" s="90">
        <f t="shared" si="16"/>
        <v>24060</v>
      </c>
      <c r="U329" s="92">
        <f t="shared" si="17"/>
        <v>21872.727272727268</v>
      </c>
      <c r="V329" s="92">
        <f t="shared" si="18"/>
        <v>874909090.90909076</v>
      </c>
      <c r="W329" s="92">
        <f t="shared" si="19"/>
        <v>87490909.090909079</v>
      </c>
      <c r="Y329" s="115"/>
    </row>
    <row r="330" spans="1:25" s="94" customFormat="1" ht="30" customHeight="1">
      <c r="A330" s="85">
        <v>320</v>
      </c>
      <c r="B330" s="86" t="s">
        <v>50</v>
      </c>
      <c r="C330" s="127" t="s">
        <v>43</v>
      </c>
      <c r="D330" s="127" t="s">
        <v>51</v>
      </c>
      <c r="E330" s="127" t="s">
        <v>55</v>
      </c>
      <c r="F330" s="117" t="s">
        <v>49</v>
      </c>
      <c r="G330" s="88">
        <v>46225</v>
      </c>
      <c r="H330" s="87" t="s">
        <v>1964</v>
      </c>
      <c r="I330" s="88" t="s">
        <v>1965</v>
      </c>
      <c r="J330" s="89" t="s">
        <v>2611</v>
      </c>
      <c r="K330" s="89" t="s">
        <v>1966</v>
      </c>
      <c r="L330" s="89" t="s">
        <v>1866</v>
      </c>
      <c r="M330" s="118" t="s">
        <v>1967</v>
      </c>
      <c r="N330" s="90">
        <v>10000</v>
      </c>
      <c r="O330" s="91">
        <v>46218</v>
      </c>
      <c r="P330" s="90" t="s">
        <v>1577</v>
      </c>
      <c r="Q330" s="90">
        <v>80</v>
      </c>
      <c r="R330" s="90">
        <v>28300</v>
      </c>
      <c r="S330" s="130">
        <v>4400</v>
      </c>
      <c r="T330" s="90">
        <f t="shared" si="16"/>
        <v>23900</v>
      </c>
      <c r="U330" s="92">
        <f t="shared" si="17"/>
        <v>21727.272727272724</v>
      </c>
      <c r="V330" s="92">
        <f t="shared" si="18"/>
        <v>217272727.27272725</v>
      </c>
      <c r="W330" s="92">
        <f t="shared" si="19"/>
        <v>21727272.727272727</v>
      </c>
      <c r="Y330" s="115"/>
    </row>
    <row r="331" spans="1:25" s="94" customFormat="1" ht="30" customHeight="1">
      <c r="A331" s="85">
        <v>321</v>
      </c>
      <c r="B331" s="86" t="s">
        <v>50</v>
      </c>
      <c r="C331" s="127" t="s">
        <v>43</v>
      </c>
      <c r="D331" s="127" t="s">
        <v>51</v>
      </c>
      <c r="E331" s="127" t="s">
        <v>55</v>
      </c>
      <c r="F331" s="117" t="s">
        <v>49</v>
      </c>
      <c r="G331" s="88">
        <v>46225</v>
      </c>
      <c r="H331" s="87" t="s">
        <v>1968</v>
      </c>
      <c r="I331" s="88" t="s">
        <v>1969</v>
      </c>
      <c r="J331" s="89" t="s">
        <v>2610</v>
      </c>
      <c r="K331" s="89" t="s">
        <v>1966</v>
      </c>
      <c r="L331" s="89" t="s">
        <v>1866</v>
      </c>
      <c r="M331" s="118" t="s">
        <v>1967</v>
      </c>
      <c r="N331" s="90">
        <v>10000</v>
      </c>
      <c r="O331" s="91">
        <v>46218</v>
      </c>
      <c r="P331" s="90" t="s">
        <v>1577</v>
      </c>
      <c r="Q331" s="90">
        <v>80</v>
      </c>
      <c r="R331" s="90">
        <v>28450</v>
      </c>
      <c r="S331" s="130">
        <v>4200</v>
      </c>
      <c r="T331" s="90">
        <f t="shared" ref="T331:T394" si="20">+R331-S331</f>
        <v>24250</v>
      </c>
      <c r="U331" s="92">
        <f t="shared" ref="U331:U394" si="21">+T331*0.909090909090909</f>
        <v>22045.45454545454</v>
      </c>
      <c r="V331" s="92">
        <f t="shared" ref="V331:V394" si="22">+N331*T331*0.909090909090909</f>
        <v>220454545.45454541</v>
      </c>
      <c r="W331" s="92">
        <f t="shared" ref="W331:W394" si="23">+V331*10%</f>
        <v>22045454.545454543</v>
      </c>
      <c r="Y331" s="115"/>
    </row>
    <row r="332" spans="1:25" s="94" customFormat="1" ht="30" customHeight="1">
      <c r="A332" s="85">
        <v>322</v>
      </c>
      <c r="B332" s="86" t="s">
        <v>50</v>
      </c>
      <c r="C332" s="127" t="s">
        <v>43</v>
      </c>
      <c r="D332" s="127" t="s">
        <v>51</v>
      </c>
      <c r="E332" s="127" t="s">
        <v>52</v>
      </c>
      <c r="F332" s="117" t="s">
        <v>49</v>
      </c>
      <c r="G332" s="88">
        <v>46225</v>
      </c>
      <c r="H332" s="87" t="s">
        <v>1970</v>
      </c>
      <c r="I332" s="88" t="s">
        <v>1971</v>
      </c>
      <c r="J332" s="89" t="s">
        <v>1972</v>
      </c>
      <c r="K332" s="89" t="s">
        <v>492</v>
      </c>
      <c r="L332" s="89" t="s">
        <v>1866</v>
      </c>
      <c r="M332" s="118" t="s">
        <v>1973</v>
      </c>
      <c r="N332" s="90">
        <v>20000</v>
      </c>
      <c r="O332" s="91">
        <v>46218</v>
      </c>
      <c r="P332" s="90" t="s">
        <v>1577</v>
      </c>
      <c r="Q332" s="90">
        <v>80</v>
      </c>
      <c r="R332" s="90">
        <v>28270</v>
      </c>
      <c r="S332" s="130">
        <v>4400</v>
      </c>
      <c r="T332" s="90">
        <f t="shared" si="20"/>
        <v>23870</v>
      </c>
      <c r="U332" s="92">
        <f t="shared" si="21"/>
        <v>21699.999999999996</v>
      </c>
      <c r="V332" s="92">
        <f t="shared" si="22"/>
        <v>433999999.99999994</v>
      </c>
      <c r="W332" s="92">
        <f t="shared" si="23"/>
        <v>43400000</v>
      </c>
      <c r="Y332" s="115"/>
    </row>
    <row r="333" spans="1:25" s="94" customFormat="1" ht="30" customHeight="1">
      <c r="A333" s="85">
        <v>323</v>
      </c>
      <c r="B333" s="86" t="s">
        <v>50</v>
      </c>
      <c r="C333" s="127" t="s">
        <v>43</v>
      </c>
      <c r="D333" s="127" t="s">
        <v>51</v>
      </c>
      <c r="E333" s="127" t="s">
        <v>54</v>
      </c>
      <c r="F333" s="117" t="s">
        <v>49</v>
      </c>
      <c r="G333" s="88">
        <v>46226</v>
      </c>
      <c r="H333" s="87" t="s">
        <v>1982</v>
      </c>
      <c r="I333" s="88" t="s">
        <v>1983</v>
      </c>
      <c r="J333" s="89" t="s">
        <v>2525</v>
      </c>
      <c r="K333" s="89" t="s">
        <v>1984</v>
      </c>
      <c r="L333" s="89" t="s">
        <v>1985</v>
      </c>
      <c r="M333" s="118" t="s">
        <v>1986</v>
      </c>
      <c r="N333" s="90">
        <v>4000</v>
      </c>
      <c r="O333" s="91">
        <v>46218</v>
      </c>
      <c r="P333" s="90" t="s">
        <v>1577</v>
      </c>
      <c r="Q333" s="90">
        <v>80</v>
      </c>
      <c r="R333" s="90">
        <v>28950</v>
      </c>
      <c r="S333" s="130">
        <v>4300</v>
      </c>
      <c r="T333" s="90">
        <f t="shared" si="20"/>
        <v>24650</v>
      </c>
      <c r="U333" s="92">
        <f t="shared" si="21"/>
        <v>22409.090909090904</v>
      </c>
      <c r="V333" s="92">
        <f t="shared" si="22"/>
        <v>89636363.636363626</v>
      </c>
      <c r="W333" s="92">
        <f t="shared" si="23"/>
        <v>8963636.3636363633</v>
      </c>
      <c r="Y333" s="115"/>
    </row>
    <row r="334" spans="1:25" s="94" customFormat="1" ht="30" customHeight="1">
      <c r="A334" s="85">
        <v>324</v>
      </c>
      <c r="B334" s="86" t="s">
        <v>50</v>
      </c>
      <c r="C334" s="127" t="s">
        <v>43</v>
      </c>
      <c r="D334" s="127" t="s">
        <v>51</v>
      </c>
      <c r="E334" s="127" t="s">
        <v>54</v>
      </c>
      <c r="F334" s="117" t="s">
        <v>49</v>
      </c>
      <c r="G334" s="88">
        <v>46226</v>
      </c>
      <c r="H334" s="87" t="s">
        <v>1987</v>
      </c>
      <c r="I334" s="88" t="s">
        <v>1988</v>
      </c>
      <c r="J334" s="89" t="s">
        <v>2524</v>
      </c>
      <c r="K334" s="89" t="s">
        <v>506</v>
      </c>
      <c r="L334" s="89" t="s">
        <v>1985</v>
      </c>
      <c r="M334" s="118" t="s">
        <v>1990</v>
      </c>
      <c r="N334" s="90">
        <v>8000</v>
      </c>
      <c r="O334" s="91">
        <v>46218</v>
      </c>
      <c r="P334" s="90" t="s">
        <v>1577</v>
      </c>
      <c r="Q334" s="90">
        <v>80</v>
      </c>
      <c r="R334" s="90">
        <v>28950</v>
      </c>
      <c r="S334" s="130">
        <v>4300</v>
      </c>
      <c r="T334" s="90">
        <f t="shared" si="20"/>
        <v>24650</v>
      </c>
      <c r="U334" s="92">
        <f t="shared" si="21"/>
        <v>22409.090909090904</v>
      </c>
      <c r="V334" s="92">
        <f t="shared" si="22"/>
        <v>179272727.27272725</v>
      </c>
      <c r="W334" s="92">
        <f t="shared" si="23"/>
        <v>17927272.727272727</v>
      </c>
      <c r="Y334" s="115"/>
    </row>
    <row r="335" spans="1:25" s="94" customFormat="1" ht="30" customHeight="1">
      <c r="A335" s="85">
        <v>325</v>
      </c>
      <c r="B335" s="86" t="s">
        <v>50</v>
      </c>
      <c r="C335" s="127" t="s">
        <v>43</v>
      </c>
      <c r="D335" s="127" t="s">
        <v>51</v>
      </c>
      <c r="E335" s="127" t="s">
        <v>52</v>
      </c>
      <c r="F335" s="117" t="s">
        <v>49</v>
      </c>
      <c r="G335" s="88">
        <v>46225</v>
      </c>
      <c r="H335" s="87" t="s">
        <v>1991</v>
      </c>
      <c r="I335" s="88" t="s">
        <v>1989</v>
      </c>
      <c r="J335" s="89" t="s">
        <v>2649</v>
      </c>
      <c r="K335" s="89" t="s">
        <v>1992</v>
      </c>
      <c r="L335" s="89" t="s">
        <v>1866</v>
      </c>
      <c r="M335" s="118" t="s">
        <v>1993</v>
      </c>
      <c r="N335" s="90">
        <v>40000</v>
      </c>
      <c r="O335" s="91">
        <v>46218</v>
      </c>
      <c r="P335" s="90" t="s">
        <v>1577</v>
      </c>
      <c r="Q335" s="90">
        <v>80</v>
      </c>
      <c r="R335" s="90">
        <v>28270</v>
      </c>
      <c r="S335" s="130">
        <v>4400</v>
      </c>
      <c r="T335" s="90">
        <f t="shared" si="20"/>
        <v>23870</v>
      </c>
      <c r="U335" s="92">
        <f t="shared" si="21"/>
        <v>21699.999999999996</v>
      </c>
      <c r="V335" s="92">
        <f t="shared" si="22"/>
        <v>867999999.99999988</v>
      </c>
      <c r="W335" s="92">
        <f t="shared" si="23"/>
        <v>86800000</v>
      </c>
      <c r="Y335" s="115"/>
    </row>
    <row r="336" spans="1:25" s="94" customFormat="1" ht="30" customHeight="1">
      <c r="A336" s="85">
        <v>326</v>
      </c>
      <c r="B336" s="86" t="s">
        <v>50</v>
      </c>
      <c r="C336" s="127" t="s">
        <v>43</v>
      </c>
      <c r="D336" s="127" t="s">
        <v>51</v>
      </c>
      <c r="E336" s="127" t="s">
        <v>52</v>
      </c>
      <c r="F336" s="117" t="s">
        <v>49</v>
      </c>
      <c r="G336" s="88">
        <v>46226</v>
      </c>
      <c r="H336" s="87" t="s">
        <v>1997</v>
      </c>
      <c r="I336" s="88" t="s">
        <v>1998</v>
      </c>
      <c r="J336" s="89" t="s">
        <v>1999</v>
      </c>
      <c r="K336" s="89" t="s">
        <v>2000</v>
      </c>
      <c r="L336" s="89" t="s">
        <v>1985</v>
      </c>
      <c r="M336" s="118" t="s">
        <v>2001</v>
      </c>
      <c r="N336" s="90">
        <v>40000</v>
      </c>
      <c r="O336" s="91">
        <v>46218</v>
      </c>
      <c r="P336" s="90" t="s">
        <v>1577</v>
      </c>
      <c r="Q336" s="90">
        <v>80</v>
      </c>
      <c r="R336" s="90">
        <v>28640</v>
      </c>
      <c r="S336" s="130">
        <v>4200</v>
      </c>
      <c r="T336" s="90">
        <f t="shared" si="20"/>
        <v>24440</v>
      </c>
      <c r="U336" s="92">
        <f t="shared" si="21"/>
        <v>22218.181818181816</v>
      </c>
      <c r="V336" s="92">
        <f t="shared" si="22"/>
        <v>888727272.72727263</v>
      </c>
      <c r="W336" s="92">
        <f t="shared" si="23"/>
        <v>88872727.272727266</v>
      </c>
      <c r="Y336" s="115"/>
    </row>
    <row r="337" spans="1:25" s="94" customFormat="1" ht="30" customHeight="1">
      <c r="A337" s="85">
        <v>327</v>
      </c>
      <c r="B337" s="86" t="s">
        <v>50</v>
      </c>
      <c r="C337" s="127" t="s">
        <v>43</v>
      </c>
      <c r="D337" s="127" t="s">
        <v>51</v>
      </c>
      <c r="E337" s="127" t="s">
        <v>52</v>
      </c>
      <c r="F337" s="117" t="s">
        <v>49</v>
      </c>
      <c r="G337" s="88">
        <v>46226</v>
      </c>
      <c r="H337" s="87" t="s">
        <v>2002</v>
      </c>
      <c r="I337" s="88" t="s">
        <v>2003</v>
      </c>
      <c r="J337" s="89" t="s">
        <v>2004</v>
      </c>
      <c r="K337" s="89" t="s">
        <v>2005</v>
      </c>
      <c r="L337" s="89" t="s">
        <v>1985</v>
      </c>
      <c r="M337" s="118" t="s">
        <v>2006</v>
      </c>
      <c r="N337" s="90">
        <v>20000</v>
      </c>
      <c r="O337" s="91">
        <v>46225</v>
      </c>
      <c r="P337" s="90" t="s">
        <v>2010</v>
      </c>
      <c r="Q337" s="90">
        <v>80</v>
      </c>
      <c r="R337" s="90">
        <v>30880</v>
      </c>
      <c r="S337" s="130">
        <v>6600</v>
      </c>
      <c r="T337" s="90">
        <f t="shared" si="20"/>
        <v>24280</v>
      </c>
      <c r="U337" s="92">
        <f t="shared" si="21"/>
        <v>22072.727272727268</v>
      </c>
      <c r="V337" s="92">
        <f t="shared" si="22"/>
        <v>441454545.45454538</v>
      </c>
      <c r="W337" s="92">
        <f t="shared" si="23"/>
        <v>44145454.545454539</v>
      </c>
      <c r="Y337" s="115"/>
    </row>
    <row r="338" spans="1:25" s="94" customFormat="1" ht="30" customHeight="1">
      <c r="A338" s="85">
        <v>328</v>
      </c>
      <c r="B338" s="86" t="s">
        <v>50</v>
      </c>
      <c r="C338" s="127" t="s">
        <v>43</v>
      </c>
      <c r="D338" s="127" t="s">
        <v>51</v>
      </c>
      <c r="E338" s="127" t="s">
        <v>52</v>
      </c>
      <c r="F338" s="117" t="s">
        <v>49</v>
      </c>
      <c r="G338" s="88">
        <v>46226</v>
      </c>
      <c r="H338" s="87" t="s">
        <v>2011</v>
      </c>
      <c r="I338" s="88" t="s">
        <v>2012</v>
      </c>
      <c r="J338" s="89" t="s">
        <v>2013</v>
      </c>
      <c r="K338" s="89" t="s">
        <v>548</v>
      </c>
      <c r="L338" s="89" t="s">
        <v>1985</v>
      </c>
      <c r="M338" s="118" t="s">
        <v>2014</v>
      </c>
      <c r="N338" s="90">
        <v>12000</v>
      </c>
      <c r="O338" s="91">
        <v>46225</v>
      </c>
      <c r="P338" s="90" t="s">
        <v>2010</v>
      </c>
      <c r="Q338" s="90">
        <v>80</v>
      </c>
      <c r="R338" s="90">
        <v>30880</v>
      </c>
      <c r="S338" s="130">
        <v>6600</v>
      </c>
      <c r="T338" s="90">
        <f t="shared" si="20"/>
        <v>24280</v>
      </c>
      <c r="U338" s="92">
        <f t="shared" si="21"/>
        <v>22072.727272727268</v>
      </c>
      <c r="V338" s="92">
        <f t="shared" si="22"/>
        <v>264872727.27272722</v>
      </c>
      <c r="W338" s="92">
        <f t="shared" si="23"/>
        <v>26487272.727272723</v>
      </c>
      <c r="Y338" s="115"/>
    </row>
    <row r="339" spans="1:25" s="94" customFormat="1" ht="30" customHeight="1">
      <c r="A339" s="85">
        <v>329</v>
      </c>
      <c r="B339" s="86" t="s">
        <v>50</v>
      </c>
      <c r="C339" s="127" t="s">
        <v>43</v>
      </c>
      <c r="D339" s="127" t="s">
        <v>51</v>
      </c>
      <c r="E339" s="127" t="s">
        <v>54</v>
      </c>
      <c r="F339" s="117" t="s">
        <v>49</v>
      </c>
      <c r="G339" s="88">
        <v>46226</v>
      </c>
      <c r="H339" s="87" t="s">
        <v>2015</v>
      </c>
      <c r="I339" s="88" t="s">
        <v>2016</v>
      </c>
      <c r="J339" s="89" t="s">
        <v>2526</v>
      </c>
      <c r="K339" s="89" t="s">
        <v>2020</v>
      </c>
      <c r="L339" s="89" t="s">
        <v>1985</v>
      </c>
      <c r="M339" s="118" t="s">
        <v>2021</v>
      </c>
      <c r="N339" s="90">
        <v>20000</v>
      </c>
      <c r="O339" s="91">
        <v>46225</v>
      </c>
      <c r="P339" s="90" t="s">
        <v>2010</v>
      </c>
      <c r="Q339" s="90">
        <v>80</v>
      </c>
      <c r="R339" s="90">
        <v>31470</v>
      </c>
      <c r="S339" s="130">
        <v>6550</v>
      </c>
      <c r="T339" s="90">
        <f t="shared" si="20"/>
        <v>24920</v>
      </c>
      <c r="U339" s="92">
        <f t="shared" si="21"/>
        <v>22654.545454545452</v>
      </c>
      <c r="V339" s="92">
        <f t="shared" si="22"/>
        <v>453090909.090909</v>
      </c>
      <c r="W339" s="92">
        <f t="shared" si="23"/>
        <v>45309090.909090906</v>
      </c>
      <c r="Y339" s="115"/>
    </row>
    <row r="340" spans="1:25" s="94" customFormat="1" ht="30" customHeight="1">
      <c r="A340" s="85">
        <v>330</v>
      </c>
      <c r="B340" s="86" t="s">
        <v>50</v>
      </c>
      <c r="C340" s="127" t="s">
        <v>43</v>
      </c>
      <c r="D340" s="127" t="s">
        <v>51</v>
      </c>
      <c r="E340" s="127" t="s">
        <v>52</v>
      </c>
      <c r="F340" s="117" t="s">
        <v>49</v>
      </c>
      <c r="G340" s="88">
        <v>46226</v>
      </c>
      <c r="H340" s="87" t="s">
        <v>2022</v>
      </c>
      <c r="I340" s="88" t="s">
        <v>2017</v>
      </c>
      <c r="J340" s="89" t="s">
        <v>2023</v>
      </c>
      <c r="K340" s="89" t="s">
        <v>542</v>
      </c>
      <c r="L340" s="89" t="s">
        <v>1985</v>
      </c>
      <c r="M340" s="118" t="s">
        <v>2024</v>
      </c>
      <c r="N340" s="90">
        <v>10000</v>
      </c>
      <c r="O340" s="91">
        <v>46225</v>
      </c>
      <c r="P340" s="90" t="s">
        <v>2010</v>
      </c>
      <c r="Q340" s="90">
        <v>80</v>
      </c>
      <c r="R340" s="90">
        <v>30880</v>
      </c>
      <c r="S340" s="130">
        <v>400</v>
      </c>
      <c r="T340" s="90">
        <f t="shared" si="20"/>
        <v>30480</v>
      </c>
      <c r="U340" s="92">
        <f t="shared" si="21"/>
        <v>27709.090909090904</v>
      </c>
      <c r="V340" s="92">
        <f t="shared" si="22"/>
        <v>277090909.09090906</v>
      </c>
      <c r="W340" s="92">
        <f t="shared" si="23"/>
        <v>27709090.909090906</v>
      </c>
      <c r="Y340" s="115"/>
    </row>
    <row r="341" spans="1:25" s="94" customFormat="1" ht="30" customHeight="1">
      <c r="A341" s="85">
        <v>331</v>
      </c>
      <c r="B341" s="86" t="s">
        <v>50</v>
      </c>
      <c r="C341" s="127" t="s">
        <v>43</v>
      </c>
      <c r="D341" s="127" t="s">
        <v>51</v>
      </c>
      <c r="E341" s="127" t="s">
        <v>52</v>
      </c>
      <c r="F341" s="117" t="s">
        <v>49</v>
      </c>
      <c r="G341" s="88">
        <v>46226</v>
      </c>
      <c r="H341" s="87" t="s">
        <v>2025</v>
      </c>
      <c r="I341" s="88" t="s">
        <v>2018</v>
      </c>
      <c r="J341" s="89" t="s">
        <v>2026</v>
      </c>
      <c r="K341" s="89" t="s">
        <v>2027</v>
      </c>
      <c r="L341" s="89" t="s">
        <v>1985</v>
      </c>
      <c r="M341" s="118" t="s">
        <v>2028</v>
      </c>
      <c r="N341" s="90">
        <v>40000</v>
      </c>
      <c r="O341" s="91">
        <v>46225</v>
      </c>
      <c r="P341" s="90" t="s">
        <v>2010</v>
      </c>
      <c r="Q341" s="90">
        <v>80</v>
      </c>
      <c r="R341" s="90">
        <v>31100</v>
      </c>
      <c r="S341" s="130">
        <v>6600</v>
      </c>
      <c r="T341" s="90">
        <f t="shared" si="20"/>
        <v>24500</v>
      </c>
      <c r="U341" s="92">
        <f t="shared" si="21"/>
        <v>22272.727272727268</v>
      </c>
      <c r="V341" s="92">
        <f t="shared" si="22"/>
        <v>890909090.90909076</v>
      </c>
      <c r="W341" s="92">
        <f t="shared" si="23"/>
        <v>89090909.090909079</v>
      </c>
      <c r="Y341" s="115"/>
    </row>
    <row r="342" spans="1:25" s="94" customFormat="1" ht="30" customHeight="1">
      <c r="A342" s="85">
        <v>332</v>
      </c>
      <c r="B342" s="86" t="s">
        <v>50</v>
      </c>
      <c r="C342" s="127" t="s">
        <v>43</v>
      </c>
      <c r="D342" s="127" t="s">
        <v>51</v>
      </c>
      <c r="E342" s="127" t="s">
        <v>61</v>
      </c>
      <c r="F342" s="117" t="s">
        <v>49</v>
      </c>
      <c r="G342" s="88">
        <v>46226</v>
      </c>
      <c r="H342" s="87" t="s">
        <v>2029</v>
      </c>
      <c r="I342" s="88" t="s">
        <v>2019</v>
      </c>
      <c r="J342" s="89" t="s">
        <v>2448</v>
      </c>
      <c r="K342" s="89" t="s">
        <v>565</v>
      </c>
      <c r="L342" s="89" t="s">
        <v>1985</v>
      </c>
      <c r="M342" s="118" t="s">
        <v>2030</v>
      </c>
      <c r="N342" s="90">
        <v>100000</v>
      </c>
      <c r="O342" s="91">
        <v>46225</v>
      </c>
      <c r="P342" s="90" t="s">
        <v>2010</v>
      </c>
      <c r="Q342" s="90">
        <v>80</v>
      </c>
      <c r="R342" s="90">
        <v>30930</v>
      </c>
      <c r="S342" s="130">
        <v>6600</v>
      </c>
      <c r="T342" s="90">
        <f t="shared" si="20"/>
        <v>24330</v>
      </c>
      <c r="U342" s="92">
        <f t="shared" si="21"/>
        <v>22118.181818181816</v>
      </c>
      <c r="V342" s="92">
        <f t="shared" si="22"/>
        <v>2211818181.8181815</v>
      </c>
      <c r="W342" s="92">
        <f t="shared" si="23"/>
        <v>221181818.18181816</v>
      </c>
      <c r="Y342" s="115"/>
    </row>
    <row r="343" spans="1:25" s="94" customFormat="1" ht="30" customHeight="1">
      <c r="A343" s="85">
        <v>333</v>
      </c>
      <c r="B343" s="86" t="s">
        <v>50</v>
      </c>
      <c r="C343" s="127" t="s">
        <v>43</v>
      </c>
      <c r="D343" s="127" t="s">
        <v>51</v>
      </c>
      <c r="E343" s="127" t="s">
        <v>52</v>
      </c>
      <c r="F343" s="117" t="s">
        <v>49</v>
      </c>
      <c r="G343" s="88">
        <v>46226</v>
      </c>
      <c r="H343" s="87" t="s">
        <v>2031</v>
      </c>
      <c r="I343" s="88" t="s">
        <v>2047</v>
      </c>
      <c r="J343" s="89" t="s">
        <v>2032</v>
      </c>
      <c r="K343" s="89" t="s">
        <v>2033</v>
      </c>
      <c r="L343" s="89" t="s">
        <v>1985</v>
      </c>
      <c r="M343" s="118" t="s">
        <v>2034</v>
      </c>
      <c r="N343" s="90">
        <v>250000</v>
      </c>
      <c r="O343" s="91">
        <v>46225</v>
      </c>
      <c r="P343" s="90" t="s">
        <v>2009</v>
      </c>
      <c r="Q343" s="90">
        <v>80</v>
      </c>
      <c r="R343" s="90">
        <v>30930</v>
      </c>
      <c r="S343" s="130">
        <v>6600</v>
      </c>
      <c r="T343" s="90">
        <f t="shared" si="20"/>
        <v>24330</v>
      </c>
      <c r="U343" s="92">
        <f t="shared" si="21"/>
        <v>22118.181818181816</v>
      </c>
      <c r="V343" s="92">
        <f t="shared" si="22"/>
        <v>5529545454.545454</v>
      </c>
      <c r="W343" s="92">
        <f t="shared" si="23"/>
        <v>552954545.45454538</v>
      </c>
      <c r="Y343" s="115"/>
    </row>
    <row r="344" spans="1:25" s="94" customFormat="1" ht="30" customHeight="1">
      <c r="A344" s="85">
        <v>334</v>
      </c>
      <c r="B344" s="86" t="s">
        <v>50</v>
      </c>
      <c r="C344" s="127" t="s">
        <v>43</v>
      </c>
      <c r="D344" s="127" t="s">
        <v>51</v>
      </c>
      <c r="E344" s="127" t="s">
        <v>52</v>
      </c>
      <c r="F344" s="117" t="s">
        <v>49</v>
      </c>
      <c r="G344" s="88">
        <v>46226</v>
      </c>
      <c r="H344" s="87" t="s">
        <v>2043</v>
      </c>
      <c r="I344" s="88" t="s">
        <v>2044</v>
      </c>
      <c r="J344" s="89" t="s">
        <v>2045</v>
      </c>
      <c r="K344" s="89" t="s">
        <v>577</v>
      </c>
      <c r="L344" s="89" t="s">
        <v>1985</v>
      </c>
      <c r="M344" s="118" t="s">
        <v>2046</v>
      </c>
      <c r="N344" s="90">
        <v>20000</v>
      </c>
      <c r="O344" s="91">
        <v>46225</v>
      </c>
      <c r="P344" s="90" t="s">
        <v>2009</v>
      </c>
      <c r="Q344" s="90">
        <v>80</v>
      </c>
      <c r="R344" s="90">
        <v>30880</v>
      </c>
      <c r="S344" s="130">
        <v>6600</v>
      </c>
      <c r="T344" s="90">
        <f t="shared" si="20"/>
        <v>24280</v>
      </c>
      <c r="U344" s="92">
        <f t="shared" si="21"/>
        <v>22072.727272727268</v>
      </c>
      <c r="V344" s="92">
        <f t="shared" si="22"/>
        <v>441454545.45454538</v>
      </c>
      <c r="W344" s="92">
        <f t="shared" si="23"/>
        <v>44145454.545454539</v>
      </c>
      <c r="Y344" s="115"/>
    </row>
    <row r="345" spans="1:25" s="94" customFormat="1" ht="30" customHeight="1">
      <c r="A345" s="85">
        <v>335</v>
      </c>
      <c r="B345" s="86" t="s">
        <v>50</v>
      </c>
      <c r="C345" s="127" t="s">
        <v>43</v>
      </c>
      <c r="D345" s="127" t="s">
        <v>51</v>
      </c>
      <c r="E345" s="127" t="s">
        <v>52</v>
      </c>
      <c r="F345" s="117" t="s">
        <v>49</v>
      </c>
      <c r="G345" s="88">
        <v>46226</v>
      </c>
      <c r="H345" s="87" t="s">
        <v>2048</v>
      </c>
      <c r="I345" s="88" t="s">
        <v>2049</v>
      </c>
      <c r="J345" s="89" t="s">
        <v>2050</v>
      </c>
      <c r="K345" s="89" t="s">
        <v>2051</v>
      </c>
      <c r="L345" s="89" t="s">
        <v>1985</v>
      </c>
      <c r="M345" s="118" t="s">
        <v>2052</v>
      </c>
      <c r="N345" s="90">
        <v>40000</v>
      </c>
      <c r="O345" s="91">
        <v>46225</v>
      </c>
      <c r="P345" s="90" t="s">
        <v>2009</v>
      </c>
      <c r="Q345" s="90">
        <v>80</v>
      </c>
      <c r="R345" s="90">
        <v>30880</v>
      </c>
      <c r="S345" s="130">
        <v>6600</v>
      </c>
      <c r="T345" s="90">
        <f t="shared" si="20"/>
        <v>24280</v>
      </c>
      <c r="U345" s="92">
        <f t="shared" si="21"/>
        <v>22072.727272727268</v>
      </c>
      <c r="V345" s="92">
        <f t="shared" si="22"/>
        <v>882909090.90909076</v>
      </c>
      <c r="W345" s="92">
        <f t="shared" si="23"/>
        <v>88290909.090909079</v>
      </c>
      <c r="Y345" s="115"/>
    </row>
    <row r="346" spans="1:25" s="94" customFormat="1" ht="30" customHeight="1">
      <c r="A346" s="85">
        <v>336</v>
      </c>
      <c r="B346" s="86" t="s">
        <v>50</v>
      </c>
      <c r="C346" s="127" t="s">
        <v>43</v>
      </c>
      <c r="D346" s="127" t="s">
        <v>51</v>
      </c>
      <c r="E346" s="127" t="s">
        <v>52</v>
      </c>
      <c r="F346" s="117" t="s">
        <v>49</v>
      </c>
      <c r="G346" s="88">
        <v>46226</v>
      </c>
      <c r="H346" s="87" t="s">
        <v>2053</v>
      </c>
      <c r="I346" s="88" t="s">
        <v>2054</v>
      </c>
      <c r="J346" s="89" t="s">
        <v>2055</v>
      </c>
      <c r="K346" s="89" t="s">
        <v>572</v>
      </c>
      <c r="L346" s="89" t="s">
        <v>1985</v>
      </c>
      <c r="M346" s="118" t="s">
        <v>2056</v>
      </c>
      <c r="N346" s="90">
        <v>50000</v>
      </c>
      <c r="O346" s="91">
        <v>46225</v>
      </c>
      <c r="P346" s="90" t="s">
        <v>2009</v>
      </c>
      <c r="Q346" s="90">
        <v>80</v>
      </c>
      <c r="R346" s="90">
        <v>30880</v>
      </c>
      <c r="S346" s="130">
        <v>6600</v>
      </c>
      <c r="T346" s="90">
        <f t="shared" si="20"/>
        <v>24280</v>
      </c>
      <c r="U346" s="92">
        <f t="shared" si="21"/>
        <v>22072.727272727268</v>
      </c>
      <c r="V346" s="92">
        <f t="shared" si="22"/>
        <v>1103636363.6363635</v>
      </c>
      <c r="W346" s="92">
        <f t="shared" si="23"/>
        <v>110363636.36363636</v>
      </c>
      <c r="Y346" s="115"/>
    </row>
    <row r="347" spans="1:25" s="94" customFormat="1" ht="30" customHeight="1">
      <c r="A347" s="85">
        <v>337</v>
      </c>
      <c r="B347" s="86" t="s">
        <v>50</v>
      </c>
      <c r="C347" s="127" t="s">
        <v>43</v>
      </c>
      <c r="D347" s="127" t="s">
        <v>51</v>
      </c>
      <c r="E347" s="127" t="s">
        <v>61</v>
      </c>
      <c r="F347" s="117" t="s">
        <v>49</v>
      </c>
      <c r="G347" s="88">
        <v>46226</v>
      </c>
      <c r="H347" s="87" t="s">
        <v>2057</v>
      </c>
      <c r="I347" s="88" t="s">
        <v>2068</v>
      </c>
      <c r="J347" s="89" t="s">
        <v>2449</v>
      </c>
      <c r="K347" s="89" t="s">
        <v>565</v>
      </c>
      <c r="L347" s="89" t="s">
        <v>1985</v>
      </c>
      <c r="M347" s="118" t="s">
        <v>2030</v>
      </c>
      <c r="N347" s="90">
        <v>20000</v>
      </c>
      <c r="O347" s="91">
        <v>46225</v>
      </c>
      <c r="P347" s="90" t="s">
        <v>2009</v>
      </c>
      <c r="Q347" s="90">
        <v>80</v>
      </c>
      <c r="R347" s="90">
        <v>30930</v>
      </c>
      <c r="S347" s="130">
        <v>6600</v>
      </c>
      <c r="T347" s="90">
        <f t="shared" si="20"/>
        <v>24330</v>
      </c>
      <c r="U347" s="92">
        <f t="shared" si="21"/>
        <v>22118.181818181816</v>
      </c>
      <c r="V347" s="92">
        <f t="shared" si="22"/>
        <v>442363636.36363631</v>
      </c>
      <c r="W347" s="92">
        <f t="shared" si="23"/>
        <v>44236363.636363633</v>
      </c>
      <c r="Y347" s="115"/>
    </row>
    <row r="348" spans="1:25" s="94" customFormat="1" ht="30" customHeight="1">
      <c r="A348" s="85">
        <v>338</v>
      </c>
      <c r="B348" s="86" t="s">
        <v>50</v>
      </c>
      <c r="C348" s="127" t="s">
        <v>43</v>
      </c>
      <c r="D348" s="127" t="s">
        <v>51</v>
      </c>
      <c r="E348" s="127" t="s">
        <v>52</v>
      </c>
      <c r="F348" s="117" t="s">
        <v>49</v>
      </c>
      <c r="G348" s="88">
        <v>46226</v>
      </c>
      <c r="H348" s="87" t="s">
        <v>2058</v>
      </c>
      <c r="I348" s="88" t="s">
        <v>2067</v>
      </c>
      <c r="J348" s="89" t="s">
        <v>2059</v>
      </c>
      <c r="K348" s="89" t="s">
        <v>2060</v>
      </c>
      <c r="L348" s="89" t="s">
        <v>1985</v>
      </c>
      <c r="M348" s="118" t="s">
        <v>2061</v>
      </c>
      <c r="N348" s="90">
        <v>20000</v>
      </c>
      <c r="O348" s="91">
        <v>46225</v>
      </c>
      <c r="P348" s="90" t="s">
        <v>2009</v>
      </c>
      <c r="Q348" s="90">
        <v>80</v>
      </c>
      <c r="R348" s="90">
        <v>30880</v>
      </c>
      <c r="S348" s="130">
        <v>6600</v>
      </c>
      <c r="T348" s="90">
        <f t="shared" si="20"/>
        <v>24280</v>
      </c>
      <c r="U348" s="92">
        <f t="shared" si="21"/>
        <v>22072.727272727268</v>
      </c>
      <c r="V348" s="92">
        <f t="shared" si="22"/>
        <v>441454545.45454538</v>
      </c>
      <c r="W348" s="92">
        <f t="shared" si="23"/>
        <v>44145454.545454539</v>
      </c>
      <c r="Y348" s="115"/>
    </row>
    <row r="349" spans="1:25" s="94" customFormat="1" ht="30" customHeight="1">
      <c r="A349" s="85">
        <v>339</v>
      </c>
      <c r="B349" s="86" t="s">
        <v>50</v>
      </c>
      <c r="C349" s="127" t="s">
        <v>43</v>
      </c>
      <c r="D349" s="127" t="s">
        <v>51</v>
      </c>
      <c r="E349" s="127" t="s">
        <v>54</v>
      </c>
      <c r="F349" s="117" t="s">
        <v>49</v>
      </c>
      <c r="G349" s="88">
        <v>46226</v>
      </c>
      <c r="H349" s="87" t="s">
        <v>2062</v>
      </c>
      <c r="I349" s="88" t="s">
        <v>2066</v>
      </c>
      <c r="J349" s="89" t="s">
        <v>2530</v>
      </c>
      <c r="K349" s="89" t="s">
        <v>603</v>
      </c>
      <c r="L349" s="89" t="s">
        <v>1985</v>
      </c>
      <c r="M349" s="118" t="s">
        <v>2063</v>
      </c>
      <c r="N349" s="90">
        <v>4000</v>
      </c>
      <c r="O349" s="91">
        <v>46225</v>
      </c>
      <c r="P349" s="90" t="s">
        <v>2009</v>
      </c>
      <c r="Q349" s="90">
        <v>80</v>
      </c>
      <c r="R349" s="90">
        <v>31370</v>
      </c>
      <c r="S349" s="130">
        <v>6500</v>
      </c>
      <c r="T349" s="90">
        <f t="shared" si="20"/>
        <v>24870</v>
      </c>
      <c r="U349" s="92">
        <f t="shared" si="21"/>
        <v>22609.090909090904</v>
      </c>
      <c r="V349" s="92">
        <f t="shared" si="22"/>
        <v>90436363.636363626</v>
      </c>
      <c r="W349" s="92">
        <f t="shared" si="23"/>
        <v>9043636.3636363633</v>
      </c>
      <c r="Y349" s="115"/>
    </row>
    <row r="350" spans="1:25" s="94" customFormat="1" ht="30" customHeight="1">
      <c r="A350" s="85">
        <v>340</v>
      </c>
      <c r="B350" s="86" t="s">
        <v>50</v>
      </c>
      <c r="C350" s="127" t="s">
        <v>43</v>
      </c>
      <c r="D350" s="127" t="s">
        <v>51</v>
      </c>
      <c r="E350" s="127" t="s">
        <v>54</v>
      </c>
      <c r="F350" s="117" t="s">
        <v>49</v>
      </c>
      <c r="G350" s="88">
        <v>46226</v>
      </c>
      <c r="H350" s="87" t="s">
        <v>2064</v>
      </c>
      <c r="I350" s="88" t="s">
        <v>2065</v>
      </c>
      <c r="J350" s="89" t="s">
        <v>2529</v>
      </c>
      <c r="K350" s="89" t="s">
        <v>598</v>
      </c>
      <c r="L350" s="89" t="s">
        <v>1985</v>
      </c>
      <c r="M350" s="118" t="s">
        <v>2069</v>
      </c>
      <c r="N350" s="90">
        <v>4000</v>
      </c>
      <c r="O350" s="91">
        <v>46225</v>
      </c>
      <c r="P350" s="90" t="s">
        <v>2009</v>
      </c>
      <c r="Q350" s="90">
        <v>80</v>
      </c>
      <c r="R350" s="90">
        <v>31370</v>
      </c>
      <c r="S350" s="130">
        <v>6500</v>
      </c>
      <c r="T350" s="90">
        <f t="shared" si="20"/>
        <v>24870</v>
      </c>
      <c r="U350" s="92">
        <f t="shared" si="21"/>
        <v>22609.090909090904</v>
      </c>
      <c r="V350" s="92">
        <f t="shared" si="22"/>
        <v>90436363.636363626</v>
      </c>
      <c r="W350" s="92">
        <f t="shared" si="23"/>
        <v>9043636.3636363633</v>
      </c>
      <c r="Y350" s="115"/>
    </row>
    <row r="351" spans="1:25" s="94" customFormat="1" ht="30" customHeight="1">
      <c r="A351" s="85">
        <v>341</v>
      </c>
      <c r="B351" s="86" t="s">
        <v>50</v>
      </c>
      <c r="C351" s="127" t="s">
        <v>43</v>
      </c>
      <c r="D351" s="127" t="s">
        <v>51</v>
      </c>
      <c r="E351" s="127" t="s">
        <v>54</v>
      </c>
      <c r="F351" s="117" t="s">
        <v>49</v>
      </c>
      <c r="G351" s="88">
        <v>46226</v>
      </c>
      <c r="H351" s="87" t="s">
        <v>2070</v>
      </c>
      <c r="I351" s="88" t="s">
        <v>2071</v>
      </c>
      <c r="J351" s="89" t="s">
        <v>2528</v>
      </c>
      <c r="K351" s="89" t="s">
        <v>594</v>
      </c>
      <c r="L351" s="89" t="s">
        <v>1985</v>
      </c>
      <c r="M351" s="118" t="s">
        <v>2072</v>
      </c>
      <c r="N351" s="90">
        <v>4000</v>
      </c>
      <c r="O351" s="91">
        <v>46225</v>
      </c>
      <c r="P351" s="90" t="s">
        <v>2009</v>
      </c>
      <c r="Q351" s="90">
        <v>80</v>
      </c>
      <c r="R351" s="90">
        <v>31370</v>
      </c>
      <c r="S351" s="130">
        <v>6500</v>
      </c>
      <c r="T351" s="90">
        <f t="shared" si="20"/>
        <v>24870</v>
      </c>
      <c r="U351" s="92">
        <f t="shared" si="21"/>
        <v>22609.090909090904</v>
      </c>
      <c r="V351" s="92">
        <f t="shared" si="22"/>
        <v>90436363.636363626</v>
      </c>
      <c r="W351" s="92">
        <f t="shared" si="23"/>
        <v>9043636.3636363633</v>
      </c>
      <c r="Y351" s="115"/>
    </row>
    <row r="352" spans="1:25" s="94" customFormat="1" ht="30" customHeight="1">
      <c r="A352" s="85">
        <v>342</v>
      </c>
      <c r="B352" s="86" t="s">
        <v>50</v>
      </c>
      <c r="C352" s="127" t="s">
        <v>43</v>
      </c>
      <c r="D352" s="127" t="s">
        <v>51</v>
      </c>
      <c r="E352" s="127" t="s">
        <v>54</v>
      </c>
      <c r="F352" s="117" t="s">
        <v>49</v>
      </c>
      <c r="G352" s="88">
        <v>46226</v>
      </c>
      <c r="H352" s="87" t="s">
        <v>2073</v>
      </c>
      <c r="I352" s="88" t="s">
        <v>2074</v>
      </c>
      <c r="J352" s="89" t="s">
        <v>2527</v>
      </c>
      <c r="K352" s="89" t="s">
        <v>590</v>
      </c>
      <c r="L352" s="89" t="s">
        <v>1985</v>
      </c>
      <c r="M352" s="118" t="s">
        <v>2075</v>
      </c>
      <c r="N352" s="90">
        <v>12000</v>
      </c>
      <c r="O352" s="91">
        <v>46225</v>
      </c>
      <c r="P352" s="90" t="s">
        <v>2009</v>
      </c>
      <c r="Q352" s="90">
        <v>80</v>
      </c>
      <c r="R352" s="90">
        <v>31150</v>
      </c>
      <c r="S352" s="130">
        <v>6500</v>
      </c>
      <c r="T352" s="90">
        <f t="shared" si="20"/>
        <v>24650</v>
      </c>
      <c r="U352" s="92">
        <f t="shared" si="21"/>
        <v>22409.090909090904</v>
      </c>
      <c r="V352" s="92">
        <f t="shared" si="22"/>
        <v>268909090.90909088</v>
      </c>
      <c r="W352" s="92">
        <f t="shared" si="23"/>
        <v>26890909.09090909</v>
      </c>
      <c r="Y352" s="115"/>
    </row>
    <row r="353" spans="1:25" s="94" customFormat="1" ht="30" customHeight="1">
      <c r="A353" s="85">
        <v>343</v>
      </c>
      <c r="B353" s="86" t="s">
        <v>1783</v>
      </c>
      <c r="C353" s="127">
        <v>91</v>
      </c>
      <c r="D353" s="127" t="s">
        <v>51</v>
      </c>
      <c r="E353" s="127" t="s">
        <v>55</v>
      </c>
      <c r="F353" s="117" t="s">
        <v>1784</v>
      </c>
      <c r="G353" s="88">
        <v>46226</v>
      </c>
      <c r="H353" s="87" t="s">
        <v>2076</v>
      </c>
      <c r="I353" s="88" t="s">
        <v>2077</v>
      </c>
      <c r="J353" s="89" t="s">
        <v>2612</v>
      </c>
      <c r="K353" s="89" t="s">
        <v>2078</v>
      </c>
      <c r="L353" s="89" t="s">
        <v>1985</v>
      </c>
      <c r="M353" s="118" t="s">
        <v>2079</v>
      </c>
      <c r="N353" s="90">
        <v>47000</v>
      </c>
      <c r="O353" s="91">
        <v>46218</v>
      </c>
      <c r="P353" s="90" t="s">
        <v>2009</v>
      </c>
      <c r="Q353" s="90">
        <v>80</v>
      </c>
      <c r="R353" s="90">
        <v>29940</v>
      </c>
      <c r="S353" s="130">
        <v>1500</v>
      </c>
      <c r="T353" s="90">
        <f t="shared" si="20"/>
        <v>28440</v>
      </c>
      <c r="U353" s="92">
        <f t="shared" si="21"/>
        <v>25854.545454545452</v>
      </c>
      <c r="V353" s="92">
        <f t="shared" si="22"/>
        <v>1215163636.3636363</v>
      </c>
      <c r="W353" s="92">
        <f t="shared" si="23"/>
        <v>121516363.63636363</v>
      </c>
      <c r="Y353" s="115"/>
    </row>
    <row r="354" spans="1:25" s="94" customFormat="1" ht="30" customHeight="1">
      <c r="A354" s="85">
        <v>344</v>
      </c>
      <c r="B354" s="86" t="s">
        <v>1783</v>
      </c>
      <c r="C354" s="127">
        <v>91</v>
      </c>
      <c r="D354" s="127" t="s">
        <v>51</v>
      </c>
      <c r="E354" s="127" t="s">
        <v>55</v>
      </c>
      <c r="F354" s="117" t="s">
        <v>1784</v>
      </c>
      <c r="G354" s="88">
        <v>46226</v>
      </c>
      <c r="H354" s="87" t="s">
        <v>2080</v>
      </c>
      <c r="I354" s="88" t="s">
        <v>2081</v>
      </c>
      <c r="J354" s="89" t="s">
        <v>2613</v>
      </c>
      <c r="K354" s="89" t="s">
        <v>2078</v>
      </c>
      <c r="L354" s="89" t="s">
        <v>1985</v>
      </c>
      <c r="M354" s="118" t="s">
        <v>2079</v>
      </c>
      <c r="N354" s="90">
        <v>47000</v>
      </c>
      <c r="O354" s="91">
        <v>46218</v>
      </c>
      <c r="P354" s="90" t="s">
        <v>2009</v>
      </c>
      <c r="Q354" s="90">
        <v>80</v>
      </c>
      <c r="R354" s="90">
        <v>29940</v>
      </c>
      <c r="S354" s="130">
        <v>1500</v>
      </c>
      <c r="T354" s="90">
        <f t="shared" si="20"/>
        <v>28440</v>
      </c>
      <c r="U354" s="92">
        <f t="shared" si="21"/>
        <v>25854.545454545452</v>
      </c>
      <c r="V354" s="92">
        <f t="shared" si="22"/>
        <v>1215163636.3636363</v>
      </c>
      <c r="W354" s="92">
        <f t="shared" si="23"/>
        <v>121516363.63636363</v>
      </c>
      <c r="Y354" s="115"/>
    </row>
    <row r="355" spans="1:25" s="94" customFormat="1" ht="30" customHeight="1">
      <c r="A355" s="85">
        <v>345</v>
      </c>
      <c r="B355" s="86" t="s">
        <v>50</v>
      </c>
      <c r="C355" s="127" t="s">
        <v>43</v>
      </c>
      <c r="D355" s="127" t="s">
        <v>51</v>
      </c>
      <c r="E355" s="127" t="s">
        <v>52</v>
      </c>
      <c r="F355" s="117" t="s">
        <v>49</v>
      </c>
      <c r="G355" s="88">
        <v>46226</v>
      </c>
      <c r="H355" s="87" t="s">
        <v>2082</v>
      </c>
      <c r="I355" s="88" t="s">
        <v>2083</v>
      </c>
      <c r="J355" s="89" t="s">
        <v>2084</v>
      </c>
      <c r="K355" s="89" t="s">
        <v>2085</v>
      </c>
      <c r="L355" s="89" t="s">
        <v>1985</v>
      </c>
      <c r="M355" s="118" t="s">
        <v>2086</v>
      </c>
      <c r="N355" s="90">
        <v>100000</v>
      </c>
      <c r="O355" s="91">
        <v>46225</v>
      </c>
      <c r="P355" s="90" t="s">
        <v>2009</v>
      </c>
      <c r="Q355" s="90">
        <v>80</v>
      </c>
      <c r="R355" s="90">
        <v>30880</v>
      </c>
      <c r="S355" s="130">
        <v>6600</v>
      </c>
      <c r="T355" s="90">
        <f t="shared" si="20"/>
        <v>24280</v>
      </c>
      <c r="U355" s="92">
        <f t="shared" si="21"/>
        <v>22072.727272727268</v>
      </c>
      <c r="V355" s="92">
        <f t="shared" si="22"/>
        <v>2207272727.272727</v>
      </c>
      <c r="W355" s="92">
        <f t="shared" si="23"/>
        <v>220727272.72727272</v>
      </c>
      <c r="Y355" s="115"/>
    </row>
    <row r="356" spans="1:25" s="94" customFormat="1" ht="30" customHeight="1">
      <c r="A356" s="85">
        <v>346</v>
      </c>
      <c r="B356" s="86" t="s">
        <v>50</v>
      </c>
      <c r="C356" s="127" t="s">
        <v>43</v>
      </c>
      <c r="D356" s="127" t="s">
        <v>51</v>
      </c>
      <c r="E356" s="127" t="s">
        <v>54</v>
      </c>
      <c r="F356" s="117" t="s">
        <v>49</v>
      </c>
      <c r="G356" s="88">
        <v>46226</v>
      </c>
      <c r="H356" s="87" t="s">
        <v>2087</v>
      </c>
      <c r="I356" s="88" t="s">
        <v>2088</v>
      </c>
      <c r="J356" s="89" t="s">
        <v>2531</v>
      </c>
      <c r="K356" s="89" t="s">
        <v>612</v>
      </c>
      <c r="L356" s="89" t="s">
        <v>1985</v>
      </c>
      <c r="M356" s="118" t="s">
        <v>2089</v>
      </c>
      <c r="N356" s="90">
        <v>4000</v>
      </c>
      <c r="O356" s="91">
        <v>45129</v>
      </c>
      <c r="P356" s="90" t="s">
        <v>2009</v>
      </c>
      <c r="Q356" s="90">
        <v>80</v>
      </c>
      <c r="R356" s="90">
        <v>31370</v>
      </c>
      <c r="S356" s="130">
        <v>6500</v>
      </c>
      <c r="T356" s="90">
        <f t="shared" si="20"/>
        <v>24870</v>
      </c>
      <c r="U356" s="92">
        <f t="shared" si="21"/>
        <v>22609.090909090904</v>
      </c>
      <c r="V356" s="92">
        <f t="shared" si="22"/>
        <v>90436363.636363626</v>
      </c>
      <c r="W356" s="92">
        <f t="shared" si="23"/>
        <v>9043636.3636363633</v>
      </c>
      <c r="Y356" s="115"/>
    </row>
    <row r="357" spans="1:25" s="94" customFormat="1" ht="30" customHeight="1">
      <c r="A357" s="85">
        <v>347</v>
      </c>
      <c r="B357" s="86" t="s">
        <v>50</v>
      </c>
      <c r="C357" s="127" t="s">
        <v>43</v>
      </c>
      <c r="D357" s="127" t="s">
        <v>51</v>
      </c>
      <c r="E357" s="127" t="s">
        <v>52</v>
      </c>
      <c r="F357" s="117" t="s">
        <v>49</v>
      </c>
      <c r="G357" s="88">
        <v>46226</v>
      </c>
      <c r="H357" s="87" t="s">
        <v>2090</v>
      </c>
      <c r="I357" s="88" t="s">
        <v>2091</v>
      </c>
      <c r="J357" s="89" t="s">
        <v>2092</v>
      </c>
      <c r="K357" s="89" t="s">
        <v>620</v>
      </c>
      <c r="L357" s="89" t="s">
        <v>1985</v>
      </c>
      <c r="M357" s="118" t="s">
        <v>2093</v>
      </c>
      <c r="N357" s="90">
        <v>20000</v>
      </c>
      <c r="O357" s="91">
        <v>46225</v>
      </c>
      <c r="P357" s="90" t="s">
        <v>2009</v>
      </c>
      <c r="Q357" s="90">
        <v>80</v>
      </c>
      <c r="R357" s="90">
        <v>30880</v>
      </c>
      <c r="S357" s="130">
        <v>6600</v>
      </c>
      <c r="T357" s="90">
        <f t="shared" si="20"/>
        <v>24280</v>
      </c>
      <c r="U357" s="92">
        <f t="shared" si="21"/>
        <v>22072.727272727268</v>
      </c>
      <c r="V357" s="92">
        <f t="shared" si="22"/>
        <v>441454545.45454538</v>
      </c>
      <c r="W357" s="92">
        <f t="shared" si="23"/>
        <v>44145454.545454539</v>
      </c>
      <c r="Y357" s="115"/>
    </row>
    <row r="358" spans="1:25" s="94" customFormat="1" ht="30" customHeight="1">
      <c r="A358" s="85">
        <v>348</v>
      </c>
      <c r="B358" s="86" t="s">
        <v>50</v>
      </c>
      <c r="C358" s="127" t="s">
        <v>43</v>
      </c>
      <c r="D358" s="127" t="s">
        <v>51</v>
      </c>
      <c r="E358" s="127" t="s">
        <v>54</v>
      </c>
      <c r="F358" s="117" t="s">
        <v>49</v>
      </c>
      <c r="G358" s="88">
        <v>46226</v>
      </c>
      <c r="H358" s="87" t="s">
        <v>2094</v>
      </c>
      <c r="I358" s="88" t="s">
        <v>2095</v>
      </c>
      <c r="J358" s="89" t="s">
        <v>2544</v>
      </c>
      <c r="K358" s="89" t="s">
        <v>2096</v>
      </c>
      <c r="L358" s="89" t="s">
        <v>1985</v>
      </c>
      <c r="M358" s="118" t="s">
        <v>2097</v>
      </c>
      <c r="N358" s="90">
        <v>40000</v>
      </c>
      <c r="O358" s="91">
        <v>46225</v>
      </c>
      <c r="P358" s="90" t="s">
        <v>2009</v>
      </c>
      <c r="Q358" s="90">
        <v>80</v>
      </c>
      <c r="R358" s="90">
        <v>31370</v>
      </c>
      <c r="S358" s="130">
        <v>6600</v>
      </c>
      <c r="T358" s="90">
        <f t="shared" si="20"/>
        <v>24770</v>
      </c>
      <c r="U358" s="92">
        <f t="shared" si="21"/>
        <v>22518.181818181816</v>
      </c>
      <c r="V358" s="92">
        <f t="shared" si="22"/>
        <v>900727272.72727263</v>
      </c>
      <c r="W358" s="92">
        <f t="shared" si="23"/>
        <v>90072727.272727266</v>
      </c>
      <c r="Y358" s="115"/>
    </row>
    <row r="359" spans="1:25" s="94" customFormat="1" ht="30" customHeight="1">
      <c r="A359" s="85">
        <v>349</v>
      </c>
      <c r="B359" s="86" t="s">
        <v>50</v>
      </c>
      <c r="C359" s="127" t="s">
        <v>43</v>
      </c>
      <c r="D359" s="127" t="s">
        <v>51</v>
      </c>
      <c r="E359" s="127" t="s">
        <v>52</v>
      </c>
      <c r="F359" s="117" t="s">
        <v>49</v>
      </c>
      <c r="G359" s="88">
        <v>46226</v>
      </c>
      <c r="H359" s="87" t="s">
        <v>2098</v>
      </c>
      <c r="I359" s="88" t="s">
        <v>2099</v>
      </c>
      <c r="J359" s="89" t="s">
        <v>2100</v>
      </c>
      <c r="K359" s="89" t="s">
        <v>2101</v>
      </c>
      <c r="L359" s="89" t="s">
        <v>1985</v>
      </c>
      <c r="M359" s="118" t="s">
        <v>2102</v>
      </c>
      <c r="N359" s="90">
        <v>20000</v>
      </c>
      <c r="O359" s="91">
        <v>46225</v>
      </c>
      <c r="P359" s="90" t="s">
        <v>2009</v>
      </c>
      <c r="Q359" s="90">
        <v>80</v>
      </c>
      <c r="R359" s="90">
        <v>30930</v>
      </c>
      <c r="S359" s="130">
        <v>6600</v>
      </c>
      <c r="T359" s="90">
        <f t="shared" si="20"/>
        <v>24330</v>
      </c>
      <c r="U359" s="92">
        <f t="shared" si="21"/>
        <v>22118.181818181816</v>
      </c>
      <c r="V359" s="92">
        <f t="shared" si="22"/>
        <v>442363636.36363631</v>
      </c>
      <c r="W359" s="92">
        <f t="shared" si="23"/>
        <v>44236363.636363633</v>
      </c>
      <c r="Y359" s="115"/>
    </row>
    <row r="360" spans="1:25" s="94" customFormat="1" ht="30" customHeight="1">
      <c r="A360" s="85">
        <v>350</v>
      </c>
      <c r="B360" s="86" t="s">
        <v>50</v>
      </c>
      <c r="C360" s="127" t="s">
        <v>43</v>
      </c>
      <c r="D360" s="127" t="s">
        <v>51</v>
      </c>
      <c r="E360" s="127" t="s">
        <v>52</v>
      </c>
      <c r="F360" s="117" t="s">
        <v>49</v>
      </c>
      <c r="G360" s="88">
        <v>46226</v>
      </c>
      <c r="H360" s="87" t="s">
        <v>2103</v>
      </c>
      <c r="I360" s="88" t="s">
        <v>2104</v>
      </c>
      <c r="J360" s="89" t="s">
        <v>2105</v>
      </c>
      <c r="K360" s="89" t="s">
        <v>624</v>
      </c>
      <c r="L360" s="89" t="s">
        <v>1985</v>
      </c>
      <c r="M360" s="118" t="s">
        <v>2106</v>
      </c>
      <c r="N360" s="90">
        <v>20000</v>
      </c>
      <c r="O360" s="91">
        <v>46225</v>
      </c>
      <c r="P360" s="90" t="s">
        <v>2009</v>
      </c>
      <c r="Q360" s="90">
        <v>80</v>
      </c>
      <c r="R360" s="90">
        <v>31380</v>
      </c>
      <c r="S360" s="130">
        <v>6925</v>
      </c>
      <c r="T360" s="90">
        <f t="shared" si="20"/>
        <v>24455</v>
      </c>
      <c r="U360" s="92">
        <f t="shared" si="21"/>
        <v>22231.81818181818</v>
      </c>
      <c r="V360" s="92">
        <f t="shared" si="22"/>
        <v>444636363.63636357</v>
      </c>
      <c r="W360" s="92">
        <f t="shared" si="23"/>
        <v>44463636.36363636</v>
      </c>
      <c r="Y360" s="115"/>
    </row>
    <row r="361" spans="1:25" s="94" customFormat="1" ht="30" customHeight="1">
      <c r="A361" s="85">
        <v>351</v>
      </c>
      <c r="B361" s="86" t="s">
        <v>50</v>
      </c>
      <c r="C361" s="127" t="s">
        <v>43</v>
      </c>
      <c r="D361" s="127" t="s">
        <v>51</v>
      </c>
      <c r="E361" s="127" t="s">
        <v>53</v>
      </c>
      <c r="F361" s="117" t="s">
        <v>49</v>
      </c>
      <c r="G361" s="88">
        <v>46227</v>
      </c>
      <c r="H361" s="87" t="s">
        <v>2110</v>
      </c>
      <c r="I361" s="88" t="s">
        <v>2111</v>
      </c>
      <c r="J361" s="89" t="s">
        <v>2314</v>
      </c>
      <c r="K361" s="89" t="s">
        <v>665</v>
      </c>
      <c r="L361" s="89" t="s">
        <v>2112</v>
      </c>
      <c r="M361" s="118" t="s">
        <v>2113</v>
      </c>
      <c r="N361" s="90">
        <v>40000</v>
      </c>
      <c r="O361" s="91">
        <v>46225</v>
      </c>
      <c r="P361" s="90" t="s">
        <v>2009</v>
      </c>
      <c r="Q361" s="90">
        <v>80</v>
      </c>
      <c r="R361" s="90">
        <v>31000</v>
      </c>
      <c r="S361" s="130">
        <v>4350</v>
      </c>
      <c r="T361" s="90">
        <f t="shared" si="20"/>
        <v>26650</v>
      </c>
      <c r="U361" s="92">
        <f t="shared" si="21"/>
        <v>24227.272727272724</v>
      </c>
      <c r="V361" s="92">
        <f t="shared" si="22"/>
        <v>969090909.09090889</v>
      </c>
      <c r="W361" s="92">
        <f t="shared" si="23"/>
        <v>96909090.909090891</v>
      </c>
      <c r="Y361" s="115"/>
    </row>
    <row r="362" spans="1:25" s="94" customFormat="1" ht="30" customHeight="1">
      <c r="A362" s="85">
        <v>352</v>
      </c>
      <c r="B362" s="86" t="s">
        <v>50</v>
      </c>
      <c r="C362" s="127" t="s">
        <v>43</v>
      </c>
      <c r="D362" s="127" t="s">
        <v>51</v>
      </c>
      <c r="E362" s="127" t="s">
        <v>53</v>
      </c>
      <c r="F362" s="117" t="s">
        <v>49</v>
      </c>
      <c r="G362" s="88">
        <v>46227</v>
      </c>
      <c r="H362" s="87" t="s">
        <v>2114</v>
      </c>
      <c r="I362" s="88" t="s">
        <v>2115</v>
      </c>
      <c r="J362" s="89" t="s">
        <v>2313</v>
      </c>
      <c r="K362" s="89" t="s">
        <v>661</v>
      </c>
      <c r="L362" s="89" t="s">
        <v>2112</v>
      </c>
      <c r="M362" s="118" t="s">
        <v>2116</v>
      </c>
      <c r="N362" s="90">
        <v>80000</v>
      </c>
      <c r="O362" s="91">
        <v>46218</v>
      </c>
      <c r="P362" s="90" t="s">
        <v>2009</v>
      </c>
      <c r="Q362" s="90">
        <v>80</v>
      </c>
      <c r="R362" s="90">
        <v>28300</v>
      </c>
      <c r="S362" s="130">
        <v>4400</v>
      </c>
      <c r="T362" s="90">
        <f t="shared" si="20"/>
        <v>23900</v>
      </c>
      <c r="U362" s="92">
        <f t="shared" si="21"/>
        <v>21727.272727272724</v>
      </c>
      <c r="V362" s="92">
        <f t="shared" si="22"/>
        <v>1738181818.181818</v>
      </c>
      <c r="W362" s="92">
        <f t="shared" si="23"/>
        <v>173818181.81818181</v>
      </c>
      <c r="Y362" s="115"/>
    </row>
    <row r="363" spans="1:25" s="94" customFormat="1" ht="30" customHeight="1">
      <c r="A363" s="85">
        <v>353</v>
      </c>
      <c r="B363" s="86" t="s">
        <v>50</v>
      </c>
      <c r="C363" s="127" t="s">
        <v>43</v>
      </c>
      <c r="D363" s="127" t="s">
        <v>51</v>
      </c>
      <c r="E363" s="127" t="s">
        <v>53</v>
      </c>
      <c r="F363" s="117" t="s">
        <v>49</v>
      </c>
      <c r="G363" s="88">
        <v>46227</v>
      </c>
      <c r="H363" s="87" t="s">
        <v>2117</v>
      </c>
      <c r="I363" s="88" t="s">
        <v>2118</v>
      </c>
      <c r="J363" s="89" t="s">
        <v>2312</v>
      </c>
      <c r="K363" s="89" t="s">
        <v>657</v>
      </c>
      <c r="L363" s="89" t="s">
        <v>2112</v>
      </c>
      <c r="M363" s="118" t="s">
        <v>2119</v>
      </c>
      <c r="N363" s="90">
        <v>170000</v>
      </c>
      <c r="O363" s="91" t="s">
        <v>2120</v>
      </c>
      <c r="P363" s="90" t="s">
        <v>2009</v>
      </c>
      <c r="Q363" s="90">
        <v>80</v>
      </c>
      <c r="R363" s="90">
        <v>28300</v>
      </c>
      <c r="S363" s="130">
        <v>4400</v>
      </c>
      <c r="T363" s="90">
        <f t="shared" si="20"/>
        <v>23900</v>
      </c>
      <c r="U363" s="92">
        <f t="shared" si="21"/>
        <v>21727.272727272724</v>
      </c>
      <c r="V363" s="92">
        <f t="shared" si="22"/>
        <v>3693636363.636363</v>
      </c>
      <c r="W363" s="92">
        <f t="shared" si="23"/>
        <v>369363636.36363631</v>
      </c>
      <c r="Y363" s="115"/>
    </row>
    <row r="364" spans="1:25" s="94" customFormat="1" ht="30" customHeight="1">
      <c r="A364" s="85">
        <v>354</v>
      </c>
      <c r="B364" s="86" t="s">
        <v>50</v>
      </c>
      <c r="C364" s="127">
        <v>91</v>
      </c>
      <c r="D364" s="127" t="s">
        <v>51</v>
      </c>
      <c r="E364" s="127" t="s">
        <v>54</v>
      </c>
      <c r="F364" s="117" t="s">
        <v>49</v>
      </c>
      <c r="G364" s="88">
        <v>46227</v>
      </c>
      <c r="H364" s="87" t="s">
        <v>2121</v>
      </c>
      <c r="I364" s="88" t="s">
        <v>2122</v>
      </c>
      <c r="J364" s="89" t="s">
        <v>2534</v>
      </c>
      <c r="K364" s="89" t="s">
        <v>677</v>
      </c>
      <c r="L364" s="89" t="s">
        <v>2112</v>
      </c>
      <c r="M364" s="118" t="s">
        <v>2123</v>
      </c>
      <c r="N364" s="90">
        <v>16000</v>
      </c>
      <c r="O364" s="91">
        <v>46225</v>
      </c>
      <c r="P364" s="90" t="s">
        <v>2009</v>
      </c>
      <c r="Q364" s="90">
        <v>80</v>
      </c>
      <c r="R364" s="90">
        <v>33270</v>
      </c>
      <c r="S364" s="130">
        <v>1900</v>
      </c>
      <c r="T364" s="90">
        <f t="shared" si="20"/>
        <v>31370</v>
      </c>
      <c r="U364" s="92">
        <f t="shared" si="21"/>
        <v>28518.181818181813</v>
      </c>
      <c r="V364" s="92">
        <f t="shared" si="22"/>
        <v>456290909.090909</v>
      </c>
      <c r="W364" s="92">
        <f t="shared" si="23"/>
        <v>45629090.909090906</v>
      </c>
      <c r="Y364" s="115"/>
    </row>
    <row r="365" spans="1:25" s="94" customFormat="1" ht="30" customHeight="1">
      <c r="A365" s="85">
        <v>355</v>
      </c>
      <c r="B365" s="86" t="s">
        <v>50</v>
      </c>
      <c r="C365" s="127" t="s">
        <v>43</v>
      </c>
      <c r="D365" s="127" t="s">
        <v>51</v>
      </c>
      <c r="E365" s="127" t="s">
        <v>52</v>
      </c>
      <c r="F365" s="117" t="s">
        <v>49</v>
      </c>
      <c r="G365" s="88">
        <v>46227</v>
      </c>
      <c r="H365" s="87" t="s">
        <v>2124</v>
      </c>
      <c r="I365" s="88" t="s">
        <v>2125</v>
      </c>
      <c r="J365" s="89" t="s">
        <v>2126</v>
      </c>
      <c r="K365" s="89" t="s">
        <v>688</v>
      </c>
      <c r="L365" s="89" t="s">
        <v>2112</v>
      </c>
      <c r="M365" s="118" t="s">
        <v>2127</v>
      </c>
      <c r="N365" s="90">
        <v>20000</v>
      </c>
      <c r="O365" s="91">
        <v>46225</v>
      </c>
      <c r="P365" s="90" t="s">
        <v>2009</v>
      </c>
      <c r="Q365" s="90">
        <v>80</v>
      </c>
      <c r="R365" s="90">
        <v>30880</v>
      </c>
      <c r="S365" s="130">
        <v>4200</v>
      </c>
      <c r="T365" s="90">
        <f t="shared" si="20"/>
        <v>26680</v>
      </c>
      <c r="U365" s="92">
        <f t="shared" si="21"/>
        <v>24254.545454545452</v>
      </c>
      <c r="V365" s="92">
        <f t="shared" si="22"/>
        <v>485090909.090909</v>
      </c>
      <c r="W365" s="92">
        <f t="shared" si="23"/>
        <v>48509090.909090906</v>
      </c>
      <c r="Y365" s="115"/>
    </row>
    <row r="366" spans="1:25" s="94" customFormat="1" ht="30" customHeight="1">
      <c r="A366" s="85">
        <v>356</v>
      </c>
      <c r="B366" s="86" t="s">
        <v>50</v>
      </c>
      <c r="C366" s="127" t="s">
        <v>43</v>
      </c>
      <c r="D366" s="127" t="s">
        <v>51</v>
      </c>
      <c r="E366" s="127" t="s">
        <v>52</v>
      </c>
      <c r="F366" s="117" t="s">
        <v>49</v>
      </c>
      <c r="G366" s="88">
        <v>46227</v>
      </c>
      <c r="H366" s="87" t="s">
        <v>2128</v>
      </c>
      <c r="I366" s="88" t="s">
        <v>2129</v>
      </c>
      <c r="J366" s="89" t="s">
        <v>2130</v>
      </c>
      <c r="K366" s="89" t="s">
        <v>682</v>
      </c>
      <c r="L366" s="89" t="s">
        <v>2112</v>
      </c>
      <c r="M366" s="118" t="s">
        <v>2131</v>
      </c>
      <c r="N366" s="90">
        <v>60000</v>
      </c>
      <c r="O366" s="91">
        <v>46225</v>
      </c>
      <c r="P366" s="90" t="s">
        <v>2009</v>
      </c>
      <c r="Q366" s="90">
        <v>80</v>
      </c>
      <c r="R366" s="90">
        <v>30880</v>
      </c>
      <c r="S366" s="130">
        <v>6600</v>
      </c>
      <c r="T366" s="90">
        <f t="shared" si="20"/>
        <v>24280</v>
      </c>
      <c r="U366" s="92">
        <f t="shared" si="21"/>
        <v>22072.727272727268</v>
      </c>
      <c r="V366" s="92">
        <f t="shared" si="22"/>
        <v>1324363636.3636363</v>
      </c>
      <c r="W366" s="92">
        <f t="shared" si="23"/>
        <v>132436363.63636363</v>
      </c>
      <c r="Y366" s="115"/>
    </row>
    <row r="367" spans="1:25" s="94" customFormat="1" ht="30" customHeight="1">
      <c r="A367" s="85">
        <v>357</v>
      </c>
      <c r="B367" s="86" t="s">
        <v>50</v>
      </c>
      <c r="C367" s="127" t="s">
        <v>43</v>
      </c>
      <c r="D367" s="127" t="s">
        <v>51</v>
      </c>
      <c r="E367" s="127" t="s">
        <v>54</v>
      </c>
      <c r="F367" s="117" t="s">
        <v>49</v>
      </c>
      <c r="G367" s="88">
        <v>46227</v>
      </c>
      <c r="H367" s="87" t="s">
        <v>2137</v>
      </c>
      <c r="I367" s="88" t="s">
        <v>2138</v>
      </c>
      <c r="J367" s="89" t="s">
        <v>2535</v>
      </c>
      <c r="K367" s="89" t="s">
        <v>2139</v>
      </c>
      <c r="L367" s="89" t="s">
        <v>2112</v>
      </c>
      <c r="M367" s="118" t="s">
        <v>2140</v>
      </c>
      <c r="N367" s="90">
        <v>8000</v>
      </c>
      <c r="O367" s="91">
        <v>46225</v>
      </c>
      <c r="P367" s="90" t="s">
        <v>2009</v>
      </c>
      <c r="Q367" s="90">
        <v>80</v>
      </c>
      <c r="R367" s="90">
        <v>31420</v>
      </c>
      <c r="S367" s="130">
        <v>2900</v>
      </c>
      <c r="T367" s="90">
        <f t="shared" si="20"/>
        <v>28520</v>
      </c>
      <c r="U367" s="92">
        <f t="shared" si="21"/>
        <v>25927.272727272724</v>
      </c>
      <c r="V367" s="92">
        <f t="shared" si="22"/>
        <v>207418181.81818178</v>
      </c>
      <c r="W367" s="92">
        <f t="shared" si="23"/>
        <v>20741818.18181818</v>
      </c>
      <c r="Y367" s="115"/>
    </row>
    <row r="368" spans="1:25" s="94" customFormat="1" ht="30" customHeight="1">
      <c r="A368" s="85">
        <v>358</v>
      </c>
      <c r="B368" s="86" t="s">
        <v>1608</v>
      </c>
      <c r="C368" s="127" t="s">
        <v>43</v>
      </c>
      <c r="D368" s="127" t="s">
        <v>51</v>
      </c>
      <c r="E368" s="127" t="s">
        <v>52</v>
      </c>
      <c r="F368" s="117" t="s">
        <v>1609</v>
      </c>
      <c r="G368" s="88">
        <v>46227</v>
      </c>
      <c r="H368" s="87" t="s">
        <v>2141</v>
      </c>
      <c r="I368" s="88" t="s">
        <v>2142</v>
      </c>
      <c r="J368" s="89" t="s">
        <v>2143</v>
      </c>
      <c r="K368" s="89" t="s">
        <v>2144</v>
      </c>
      <c r="L368" s="89" t="s">
        <v>2112</v>
      </c>
      <c r="M368" s="118" t="s">
        <v>1541</v>
      </c>
      <c r="N368" s="90">
        <v>7000</v>
      </c>
      <c r="O368" s="91">
        <v>46225</v>
      </c>
      <c r="P368" s="90" t="s">
        <v>2009</v>
      </c>
      <c r="Q368" s="90">
        <v>80</v>
      </c>
      <c r="R368" s="90">
        <v>25400</v>
      </c>
      <c r="S368" s="130">
        <v>4400</v>
      </c>
      <c r="T368" s="90">
        <f t="shared" si="20"/>
        <v>21000</v>
      </c>
      <c r="U368" s="92">
        <f t="shared" si="21"/>
        <v>19090.909090909088</v>
      </c>
      <c r="V368" s="92">
        <f t="shared" si="22"/>
        <v>133636363.63636361</v>
      </c>
      <c r="W368" s="92">
        <f t="shared" si="23"/>
        <v>13363636.363636361</v>
      </c>
      <c r="Y368" s="115"/>
    </row>
    <row r="369" spans="1:25" s="94" customFormat="1" ht="30" customHeight="1">
      <c r="A369" s="85">
        <v>359</v>
      </c>
      <c r="B369" s="86" t="s">
        <v>50</v>
      </c>
      <c r="C369" s="127" t="s">
        <v>43</v>
      </c>
      <c r="D369" s="127" t="s">
        <v>51</v>
      </c>
      <c r="E369" s="127" t="s">
        <v>53</v>
      </c>
      <c r="F369" s="117" t="s">
        <v>49</v>
      </c>
      <c r="G369" s="88">
        <v>46227</v>
      </c>
      <c r="H369" s="87" t="s">
        <v>2159</v>
      </c>
      <c r="I369" s="88" t="s">
        <v>2160</v>
      </c>
      <c r="J369" s="89" t="s">
        <v>2315</v>
      </c>
      <c r="K369" s="89" t="s">
        <v>2161</v>
      </c>
      <c r="L369" s="89" t="s">
        <v>2112</v>
      </c>
      <c r="M369" s="118" t="s">
        <v>2162</v>
      </c>
      <c r="N369" s="90">
        <v>20000</v>
      </c>
      <c r="O369" s="91">
        <v>46225</v>
      </c>
      <c r="P369" s="90" t="s">
        <v>2009</v>
      </c>
      <c r="Q369" s="90">
        <v>80</v>
      </c>
      <c r="R369" s="90">
        <v>31000</v>
      </c>
      <c r="S369" s="130">
        <v>1900</v>
      </c>
      <c r="T369" s="90">
        <f t="shared" si="20"/>
        <v>29100</v>
      </c>
      <c r="U369" s="92">
        <f t="shared" si="21"/>
        <v>26454.545454545452</v>
      </c>
      <c r="V369" s="92">
        <f t="shared" si="22"/>
        <v>529090909.090909</v>
      </c>
      <c r="W369" s="92">
        <f t="shared" si="23"/>
        <v>52909090.909090906</v>
      </c>
      <c r="Y369" s="115"/>
    </row>
    <row r="370" spans="1:25" s="94" customFormat="1" ht="30" customHeight="1">
      <c r="A370" s="85">
        <v>360</v>
      </c>
      <c r="B370" s="86" t="s">
        <v>50</v>
      </c>
      <c r="C370" s="127" t="s">
        <v>43</v>
      </c>
      <c r="D370" s="127" t="s">
        <v>51</v>
      </c>
      <c r="E370" s="127" t="s">
        <v>52</v>
      </c>
      <c r="F370" s="117" t="s">
        <v>49</v>
      </c>
      <c r="G370" s="88">
        <v>46227</v>
      </c>
      <c r="H370" s="87" t="s">
        <v>2166</v>
      </c>
      <c r="I370" s="88" t="s">
        <v>2167</v>
      </c>
      <c r="J370" s="89" t="s">
        <v>2168</v>
      </c>
      <c r="K370" s="89" t="s">
        <v>726</v>
      </c>
      <c r="L370" s="89" t="s">
        <v>2112</v>
      </c>
      <c r="M370" s="118" t="s">
        <v>2169</v>
      </c>
      <c r="N370" s="90">
        <v>10000</v>
      </c>
      <c r="O370" s="91">
        <v>46225</v>
      </c>
      <c r="P370" s="90" t="s">
        <v>2009</v>
      </c>
      <c r="Q370" s="90">
        <v>80</v>
      </c>
      <c r="R370" s="90">
        <v>30880</v>
      </c>
      <c r="S370" s="130">
        <v>400</v>
      </c>
      <c r="T370" s="90">
        <f t="shared" si="20"/>
        <v>30480</v>
      </c>
      <c r="U370" s="92">
        <f t="shared" si="21"/>
        <v>27709.090909090904</v>
      </c>
      <c r="V370" s="92">
        <f t="shared" si="22"/>
        <v>277090909.09090906</v>
      </c>
      <c r="W370" s="92">
        <f t="shared" si="23"/>
        <v>27709090.909090906</v>
      </c>
      <c r="Y370" s="115"/>
    </row>
    <row r="371" spans="1:25" s="94" customFormat="1" ht="30" customHeight="1">
      <c r="A371" s="85">
        <v>361</v>
      </c>
      <c r="B371" s="86" t="s">
        <v>1679</v>
      </c>
      <c r="C371" s="127" t="s">
        <v>43</v>
      </c>
      <c r="D371" s="127" t="s">
        <v>51</v>
      </c>
      <c r="E371" s="127" t="s">
        <v>52</v>
      </c>
      <c r="F371" s="117" t="s">
        <v>1680</v>
      </c>
      <c r="G371" s="88">
        <v>46228</v>
      </c>
      <c r="H371" s="87" t="s">
        <v>2170</v>
      </c>
      <c r="I371" s="88" t="s">
        <v>2171</v>
      </c>
      <c r="J371" s="89" t="s">
        <v>2172</v>
      </c>
      <c r="K371" s="89" t="s">
        <v>731</v>
      </c>
      <c r="L371" s="89" t="s">
        <v>2173</v>
      </c>
      <c r="M371" s="118" t="s">
        <v>1688</v>
      </c>
      <c r="N371" s="90">
        <v>60000</v>
      </c>
      <c r="O371" s="91">
        <v>46225</v>
      </c>
      <c r="P371" s="90" t="s">
        <v>2009</v>
      </c>
      <c r="Q371" s="90">
        <v>80</v>
      </c>
      <c r="R371" s="90">
        <v>25400</v>
      </c>
      <c r="S371" s="130">
        <v>4400</v>
      </c>
      <c r="T371" s="90">
        <f t="shared" si="20"/>
        <v>21000</v>
      </c>
      <c r="U371" s="92">
        <f t="shared" si="21"/>
        <v>19090.909090909088</v>
      </c>
      <c r="V371" s="92">
        <f t="shared" si="22"/>
        <v>1145454545.4545453</v>
      </c>
      <c r="W371" s="92">
        <f t="shared" si="23"/>
        <v>114545454.54545453</v>
      </c>
      <c r="Y371" s="115"/>
    </row>
    <row r="372" spans="1:25" s="94" customFormat="1" ht="30" customHeight="1">
      <c r="A372" s="85">
        <v>362</v>
      </c>
      <c r="B372" s="86" t="s">
        <v>50</v>
      </c>
      <c r="C372" s="127" t="s">
        <v>43</v>
      </c>
      <c r="D372" s="127" t="s">
        <v>51</v>
      </c>
      <c r="E372" s="127" t="s">
        <v>61</v>
      </c>
      <c r="F372" s="117" t="s">
        <v>49</v>
      </c>
      <c r="G372" s="88">
        <v>46228</v>
      </c>
      <c r="H372" s="87" t="s">
        <v>2174</v>
      </c>
      <c r="I372" s="88" t="s">
        <v>2175</v>
      </c>
      <c r="J372" s="89" t="s">
        <v>2450</v>
      </c>
      <c r="K372" s="89" t="s">
        <v>565</v>
      </c>
      <c r="L372" s="89" t="s">
        <v>1985</v>
      </c>
      <c r="M372" s="118" t="s">
        <v>2030</v>
      </c>
      <c r="N372" s="90">
        <v>30000</v>
      </c>
      <c r="O372" s="91">
        <v>46225</v>
      </c>
      <c r="P372" s="90" t="s">
        <v>2009</v>
      </c>
      <c r="Q372" s="90">
        <v>80</v>
      </c>
      <c r="R372" s="90">
        <v>30930</v>
      </c>
      <c r="S372" s="130">
        <v>6600</v>
      </c>
      <c r="T372" s="90">
        <f t="shared" si="20"/>
        <v>24330</v>
      </c>
      <c r="U372" s="92">
        <f t="shared" si="21"/>
        <v>22118.181818181816</v>
      </c>
      <c r="V372" s="92">
        <f t="shared" si="22"/>
        <v>663545454.54545438</v>
      </c>
      <c r="W372" s="92">
        <f t="shared" si="23"/>
        <v>66354545.454545438</v>
      </c>
      <c r="Y372" s="115"/>
    </row>
    <row r="373" spans="1:25" s="94" customFormat="1" ht="30" customHeight="1">
      <c r="A373" s="85">
        <v>363</v>
      </c>
      <c r="B373" s="86" t="s">
        <v>50</v>
      </c>
      <c r="C373" s="127" t="s">
        <v>43</v>
      </c>
      <c r="D373" s="127" t="s">
        <v>51</v>
      </c>
      <c r="E373" s="127" t="s">
        <v>61</v>
      </c>
      <c r="F373" s="117" t="s">
        <v>49</v>
      </c>
      <c r="G373" s="88">
        <v>46228</v>
      </c>
      <c r="H373" s="87" t="s">
        <v>2176</v>
      </c>
      <c r="I373" s="88" t="s">
        <v>2177</v>
      </c>
      <c r="J373" s="89" t="s">
        <v>2451</v>
      </c>
      <c r="K373" s="89" t="s">
        <v>718</v>
      </c>
      <c r="L373" s="89" t="s">
        <v>1985</v>
      </c>
      <c r="M373" s="118" t="s">
        <v>2178</v>
      </c>
      <c r="N373" s="90">
        <v>20000</v>
      </c>
      <c r="O373" s="91">
        <v>46225</v>
      </c>
      <c r="P373" s="90" t="s">
        <v>2009</v>
      </c>
      <c r="Q373" s="90">
        <v>80</v>
      </c>
      <c r="R373" s="90">
        <v>31430</v>
      </c>
      <c r="S373" s="130">
        <v>6550</v>
      </c>
      <c r="T373" s="90">
        <f t="shared" si="20"/>
        <v>24880</v>
      </c>
      <c r="U373" s="92">
        <f t="shared" si="21"/>
        <v>22618.181818181816</v>
      </c>
      <c r="V373" s="92">
        <f t="shared" si="22"/>
        <v>452363636.36363631</v>
      </c>
      <c r="W373" s="92">
        <f t="shared" si="23"/>
        <v>45236363.636363633</v>
      </c>
      <c r="Y373" s="115"/>
    </row>
    <row r="374" spans="1:25" s="94" customFormat="1" ht="30" customHeight="1">
      <c r="A374" s="85">
        <v>364</v>
      </c>
      <c r="B374" s="86" t="s">
        <v>50</v>
      </c>
      <c r="C374" s="127" t="s">
        <v>43</v>
      </c>
      <c r="D374" s="127" t="s">
        <v>51</v>
      </c>
      <c r="E374" s="127" t="s">
        <v>61</v>
      </c>
      <c r="F374" s="117" t="s">
        <v>49</v>
      </c>
      <c r="G374" s="88">
        <v>46228</v>
      </c>
      <c r="H374" s="87" t="s">
        <v>2179</v>
      </c>
      <c r="I374" s="88" t="s">
        <v>2180</v>
      </c>
      <c r="J374" s="89" t="s">
        <v>2452</v>
      </c>
      <c r="K374" s="89" t="s">
        <v>2181</v>
      </c>
      <c r="L374" s="89" t="s">
        <v>2112</v>
      </c>
      <c r="M374" s="118" t="s">
        <v>2182</v>
      </c>
      <c r="N374" s="90">
        <v>20000</v>
      </c>
      <c r="O374" s="91">
        <v>46225</v>
      </c>
      <c r="P374" s="90" t="s">
        <v>2009</v>
      </c>
      <c r="Q374" s="90">
        <v>80</v>
      </c>
      <c r="R374" s="90">
        <v>31310</v>
      </c>
      <c r="S374" s="130">
        <v>2900</v>
      </c>
      <c r="T374" s="90">
        <f t="shared" si="20"/>
        <v>28410</v>
      </c>
      <c r="U374" s="92">
        <f t="shared" si="21"/>
        <v>25827.272727272724</v>
      </c>
      <c r="V374" s="92">
        <f t="shared" si="22"/>
        <v>516545454.54545444</v>
      </c>
      <c r="W374" s="92">
        <f t="shared" si="23"/>
        <v>51654545.454545446</v>
      </c>
      <c r="Y374" s="115"/>
    </row>
    <row r="375" spans="1:25" s="94" customFormat="1" ht="30" customHeight="1">
      <c r="A375" s="85">
        <v>365</v>
      </c>
      <c r="B375" s="86" t="s">
        <v>50</v>
      </c>
      <c r="C375" s="127" t="s">
        <v>43</v>
      </c>
      <c r="D375" s="127" t="s">
        <v>51</v>
      </c>
      <c r="E375" s="127" t="s">
        <v>61</v>
      </c>
      <c r="F375" s="117" t="s">
        <v>49</v>
      </c>
      <c r="G375" s="88">
        <v>46228</v>
      </c>
      <c r="H375" s="87" t="s">
        <v>2183</v>
      </c>
      <c r="I375" s="88" t="s">
        <v>2184</v>
      </c>
      <c r="J375" s="89" t="s">
        <v>2453</v>
      </c>
      <c r="K375" s="89" t="s">
        <v>2185</v>
      </c>
      <c r="L375" s="89" t="s">
        <v>2112</v>
      </c>
      <c r="M375" s="118" t="s">
        <v>2186</v>
      </c>
      <c r="N375" s="90">
        <v>20000</v>
      </c>
      <c r="O375" s="91">
        <v>46225</v>
      </c>
      <c r="P375" s="90" t="s">
        <v>2009</v>
      </c>
      <c r="Q375" s="90">
        <v>80</v>
      </c>
      <c r="R375" s="90">
        <v>31430</v>
      </c>
      <c r="S375" s="130">
        <v>2900</v>
      </c>
      <c r="T375" s="90">
        <f t="shared" si="20"/>
        <v>28530</v>
      </c>
      <c r="U375" s="92">
        <f t="shared" si="21"/>
        <v>25936.363636363632</v>
      </c>
      <c r="V375" s="92">
        <f t="shared" si="22"/>
        <v>518727272.72727263</v>
      </c>
      <c r="W375" s="92">
        <f t="shared" si="23"/>
        <v>51872727.272727266</v>
      </c>
      <c r="Y375" s="115"/>
    </row>
    <row r="376" spans="1:25" s="94" customFormat="1" ht="30" customHeight="1">
      <c r="A376" s="85">
        <v>366</v>
      </c>
      <c r="B376" s="86" t="s">
        <v>1783</v>
      </c>
      <c r="C376" s="127" t="s">
        <v>43</v>
      </c>
      <c r="D376" s="127" t="s">
        <v>51</v>
      </c>
      <c r="E376" s="127" t="s">
        <v>55</v>
      </c>
      <c r="F376" s="117" t="s">
        <v>1784</v>
      </c>
      <c r="G376" s="88">
        <v>46227</v>
      </c>
      <c r="H376" s="87" t="s">
        <v>2187</v>
      </c>
      <c r="I376" s="88" t="s">
        <v>2188</v>
      </c>
      <c r="J376" s="89" t="s">
        <v>2614</v>
      </c>
      <c r="K376" s="89" t="s">
        <v>714</v>
      </c>
      <c r="L376" s="89" t="s">
        <v>2112</v>
      </c>
      <c r="M376" s="118" t="s">
        <v>2189</v>
      </c>
      <c r="N376" s="90">
        <v>42000</v>
      </c>
      <c r="O376" s="91">
        <v>46225</v>
      </c>
      <c r="P376" s="90" t="s">
        <v>2009</v>
      </c>
      <c r="Q376" s="90">
        <v>80</v>
      </c>
      <c r="R376" s="90">
        <v>30910</v>
      </c>
      <c r="S376" s="130">
        <v>6300</v>
      </c>
      <c r="T376" s="90">
        <f t="shared" si="20"/>
        <v>24610</v>
      </c>
      <c r="U376" s="92">
        <f t="shared" si="21"/>
        <v>22372.727272727268</v>
      </c>
      <c r="V376" s="92">
        <f t="shared" si="22"/>
        <v>939654545.45454526</v>
      </c>
      <c r="W376" s="92">
        <f t="shared" si="23"/>
        <v>93965454.545454532</v>
      </c>
      <c r="Y376" s="115"/>
    </row>
    <row r="377" spans="1:25" s="94" customFormat="1" ht="30" customHeight="1">
      <c r="A377" s="85">
        <v>367</v>
      </c>
      <c r="B377" s="86" t="s">
        <v>1783</v>
      </c>
      <c r="C377" s="127" t="s">
        <v>43</v>
      </c>
      <c r="D377" s="127" t="s">
        <v>51</v>
      </c>
      <c r="E377" s="127" t="s">
        <v>55</v>
      </c>
      <c r="F377" s="117" t="s">
        <v>1784</v>
      </c>
      <c r="G377" s="88">
        <v>46228</v>
      </c>
      <c r="H377" s="87" t="s">
        <v>2190</v>
      </c>
      <c r="I377" s="88" t="s">
        <v>2191</v>
      </c>
      <c r="J377" s="89" t="s">
        <v>2615</v>
      </c>
      <c r="K377" s="89" t="s">
        <v>714</v>
      </c>
      <c r="L377" s="89" t="s">
        <v>2112</v>
      </c>
      <c r="M377" s="118" t="s">
        <v>2189</v>
      </c>
      <c r="N377" s="90">
        <v>42000</v>
      </c>
      <c r="O377" s="91">
        <v>46225</v>
      </c>
      <c r="P377" s="90" t="s">
        <v>2009</v>
      </c>
      <c r="Q377" s="90">
        <v>80</v>
      </c>
      <c r="R377" s="90">
        <v>30910</v>
      </c>
      <c r="S377" s="130">
        <v>6300</v>
      </c>
      <c r="T377" s="90">
        <f t="shared" si="20"/>
        <v>24610</v>
      </c>
      <c r="U377" s="92">
        <f t="shared" si="21"/>
        <v>22372.727272727268</v>
      </c>
      <c r="V377" s="92">
        <f t="shared" si="22"/>
        <v>939654545.45454526</v>
      </c>
      <c r="W377" s="92">
        <f t="shared" si="23"/>
        <v>93965454.545454532</v>
      </c>
      <c r="Y377" s="115"/>
    </row>
    <row r="378" spans="1:25" s="94" customFormat="1" ht="30" customHeight="1">
      <c r="A378" s="85">
        <v>368</v>
      </c>
      <c r="B378" s="86" t="s">
        <v>50</v>
      </c>
      <c r="C378" s="127" t="s">
        <v>43</v>
      </c>
      <c r="D378" s="127" t="s">
        <v>51</v>
      </c>
      <c r="E378" s="127" t="s">
        <v>61</v>
      </c>
      <c r="F378" s="117" t="s">
        <v>49</v>
      </c>
      <c r="G378" s="88">
        <v>46228</v>
      </c>
      <c r="H378" s="87" t="s">
        <v>2192</v>
      </c>
      <c r="I378" s="88" t="s">
        <v>2193</v>
      </c>
      <c r="J378" s="89" t="s">
        <v>2463</v>
      </c>
      <c r="K378" s="89" t="s">
        <v>631</v>
      </c>
      <c r="L378" s="89" t="s">
        <v>1985</v>
      </c>
      <c r="M378" s="118" t="s">
        <v>2194</v>
      </c>
      <c r="N378" s="90">
        <v>80000</v>
      </c>
      <c r="O378" s="91">
        <v>46225</v>
      </c>
      <c r="P378" s="90" t="s">
        <v>2009</v>
      </c>
      <c r="Q378" s="90">
        <v>80</v>
      </c>
      <c r="R378" s="90">
        <v>31430</v>
      </c>
      <c r="S378" s="130">
        <v>6550</v>
      </c>
      <c r="T378" s="90">
        <f t="shared" si="20"/>
        <v>24880</v>
      </c>
      <c r="U378" s="92">
        <f t="shared" si="21"/>
        <v>22618.181818181816</v>
      </c>
      <c r="V378" s="92">
        <f t="shared" si="22"/>
        <v>1809454545.4545453</v>
      </c>
      <c r="W378" s="92">
        <f t="shared" si="23"/>
        <v>180945454.54545453</v>
      </c>
      <c r="Y378" s="115"/>
    </row>
    <row r="379" spans="1:25" s="94" customFormat="1" ht="30" customHeight="1">
      <c r="A379" s="85">
        <v>369</v>
      </c>
      <c r="B379" s="86" t="s">
        <v>50</v>
      </c>
      <c r="C379" s="127" t="s">
        <v>43</v>
      </c>
      <c r="D379" s="127" t="s">
        <v>51</v>
      </c>
      <c r="E379" s="127" t="s">
        <v>55</v>
      </c>
      <c r="F379" s="117" t="s">
        <v>49</v>
      </c>
      <c r="G379" s="88">
        <v>46230</v>
      </c>
      <c r="H379" s="87" t="s">
        <v>2195</v>
      </c>
      <c r="I379" s="88" t="s">
        <v>2196</v>
      </c>
      <c r="J379" s="89" t="s">
        <v>2616</v>
      </c>
      <c r="K379" s="89" t="s">
        <v>639</v>
      </c>
      <c r="L379" s="89" t="s">
        <v>1985</v>
      </c>
      <c r="M379" s="118" t="s">
        <v>2197</v>
      </c>
      <c r="N379" s="90">
        <v>200000</v>
      </c>
      <c r="O379" s="91" t="s">
        <v>2198</v>
      </c>
      <c r="P379" s="90" t="s">
        <v>2009</v>
      </c>
      <c r="Q379" s="90">
        <v>80</v>
      </c>
      <c r="R379" s="90">
        <v>28730</v>
      </c>
      <c r="S379" s="130">
        <v>5033</v>
      </c>
      <c r="T379" s="90">
        <f t="shared" si="20"/>
        <v>23697</v>
      </c>
      <c r="U379" s="92">
        <f t="shared" si="21"/>
        <v>21542.727272727268</v>
      </c>
      <c r="V379" s="92">
        <f t="shared" si="22"/>
        <v>4308545454.545454</v>
      </c>
      <c r="W379" s="92">
        <f t="shared" si="23"/>
        <v>430854545.45454544</v>
      </c>
      <c r="Y379" s="115"/>
    </row>
    <row r="380" spans="1:25" s="94" customFormat="1" ht="30" customHeight="1">
      <c r="A380" s="85">
        <v>370</v>
      </c>
      <c r="B380" s="86" t="s">
        <v>50</v>
      </c>
      <c r="C380" s="127" t="s">
        <v>43</v>
      </c>
      <c r="D380" s="127" t="s">
        <v>51</v>
      </c>
      <c r="E380" s="127" t="s">
        <v>55</v>
      </c>
      <c r="F380" s="117" t="s">
        <v>49</v>
      </c>
      <c r="G380" s="88">
        <v>46230</v>
      </c>
      <c r="H380" s="87" t="s">
        <v>2199</v>
      </c>
      <c r="I380" s="88" t="s">
        <v>2200</v>
      </c>
      <c r="J380" s="89" t="s">
        <v>2617</v>
      </c>
      <c r="K380" s="89" t="s">
        <v>643</v>
      </c>
      <c r="L380" s="89" t="s">
        <v>1985</v>
      </c>
      <c r="M380" s="118" t="s">
        <v>2201</v>
      </c>
      <c r="N380" s="90">
        <v>240000</v>
      </c>
      <c r="O380" s="91">
        <v>46225</v>
      </c>
      <c r="P380" s="90" t="s">
        <v>2009</v>
      </c>
      <c r="Q380" s="90">
        <v>80</v>
      </c>
      <c r="R380" s="90">
        <v>31090</v>
      </c>
      <c r="S380" s="130">
        <v>6463</v>
      </c>
      <c r="T380" s="90">
        <f t="shared" si="20"/>
        <v>24627</v>
      </c>
      <c r="U380" s="92">
        <f t="shared" si="21"/>
        <v>22388.181818181816</v>
      </c>
      <c r="V380" s="92">
        <f t="shared" si="22"/>
        <v>5373163636.3636351</v>
      </c>
      <c r="W380" s="92">
        <f t="shared" si="23"/>
        <v>537316363.63636351</v>
      </c>
      <c r="Y380" s="115"/>
    </row>
    <row r="381" spans="1:25" s="94" customFormat="1" ht="30" customHeight="1">
      <c r="A381" s="85">
        <v>371</v>
      </c>
      <c r="B381" s="86" t="s">
        <v>50</v>
      </c>
      <c r="C381" s="127" t="s">
        <v>43</v>
      </c>
      <c r="D381" s="127" t="s">
        <v>51</v>
      </c>
      <c r="E381" s="127" t="s">
        <v>55</v>
      </c>
      <c r="F381" s="117" t="s">
        <v>49</v>
      </c>
      <c r="G381" s="88">
        <v>46230</v>
      </c>
      <c r="H381" s="87" t="s">
        <v>2215</v>
      </c>
      <c r="I381" s="88" t="s">
        <v>2216</v>
      </c>
      <c r="J381" s="89" t="s">
        <v>2618</v>
      </c>
      <c r="K381" s="89" t="s">
        <v>2217</v>
      </c>
      <c r="L381" s="89" t="s">
        <v>2173</v>
      </c>
      <c r="M381" s="118" t="s">
        <v>2218</v>
      </c>
      <c r="N381" s="90">
        <v>30000</v>
      </c>
      <c r="O381" s="91">
        <v>46225</v>
      </c>
      <c r="P381" s="90" t="s">
        <v>2009</v>
      </c>
      <c r="Q381" s="90">
        <v>80</v>
      </c>
      <c r="R381" s="90">
        <v>30910</v>
      </c>
      <c r="S381" s="130">
        <v>2900</v>
      </c>
      <c r="T381" s="90">
        <f t="shared" si="20"/>
        <v>28010</v>
      </c>
      <c r="U381" s="92">
        <f t="shared" si="21"/>
        <v>25463.63636363636</v>
      </c>
      <c r="V381" s="92">
        <f t="shared" si="22"/>
        <v>763909090.90909076</v>
      </c>
      <c r="W381" s="92">
        <f t="shared" si="23"/>
        <v>76390909.090909079</v>
      </c>
      <c r="Y381" s="115"/>
    </row>
    <row r="382" spans="1:25" s="94" customFormat="1" ht="30" customHeight="1">
      <c r="A382" s="85">
        <v>372</v>
      </c>
      <c r="B382" s="86" t="s">
        <v>50</v>
      </c>
      <c r="C382" s="127" t="s">
        <v>43</v>
      </c>
      <c r="D382" s="127" t="s">
        <v>51</v>
      </c>
      <c r="E382" s="127" t="s">
        <v>52</v>
      </c>
      <c r="F382" s="117" t="s">
        <v>49</v>
      </c>
      <c r="G382" s="88">
        <v>46230</v>
      </c>
      <c r="H382" s="87" t="s">
        <v>2219</v>
      </c>
      <c r="I382" s="88" t="s">
        <v>2220</v>
      </c>
      <c r="J382" s="89" t="s">
        <v>2650</v>
      </c>
      <c r="K382" s="89" t="s">
        <v>2221</v>
      </c>
      <c r="L382" s="89" t="s">
        <v>2222</v>
      </c>
      <c r="M382" s="118" t="s">
        <v>2223</v>
      </c>
      <c r="N382" s="90">
        <v>20000</v>
      </c>
      <c r="O382" s="91">
        <v>46225</v>
      </c>
      <c r="P382" s="90" t="s">
        <v>2009</v>
      </c>
      <c r="Q382" s="90">
        <v>80</v>
      </c>
      <c r="R382" s="90">
        <v>30880</v>
      </c>
      <c r="S382" s="130">
        <v>3100</v>
      </c>
      <c r="T382" s="90">
        <f t="shared" si="20"/>
        <v>27780</v>
      </c>
      <c r="U382" s="92">
        <f t="shared" si="21"/>
        <v>25254.545454545452</v>
      </c>
      <c r="V382" s="92">
        <f t="shared" si="22"/>
        <v>505090909.090909</v>
      </c>
      <c r="W382" s="92">
        <f t="shared" si="23"/>
        <v>50509090.909090906</v>
      </c>
      <c r="Y382" s="115"/>
    </row>
    <row r="383" spans="1:25" s="94" customFormat="1" ht="30" customHeight="1">
      <c r="A383" s="85">
        <v>373</v>
      </c>
      <c r="B383" s="86" t="s">
        <v>1764</v>
      </c>
      <c r="C383" s="127" t="s">
        <v>43</v>
      </c>
      <c r="D383" s="127" t="s">
        <v>51</v>
      </c>
      <c r="E383" s="127" t="s">
        <v>53</v>
      </c>
      <c r="F383" s="117" t="s">
        <v>1765</v>
      </c>
      <c r="G383" s="88">
        <v>46230</v>
      </c>
      <c r="H383" s="87" t="s">
        <v>2236</v>
      </c>
      <c r="I383" s="88" t="s">
        <v>2237</v>
      </c>
      <c r="J383" s="89" t="s">
        <v>2316</v>
      </c>
      <c r="K383" s="89" t="s">
        <v>2238</v>
      </c>
      <c r="L383" s="89" t="s">
        <v>2222</v>
      </c>
      <c r="M383" s="118" t="s">
        <v>2239</v>
      </c>
      <c r="N383" s="90">
        <v>40000</v>
      </c>
      <c r="O383" s="91">
        <v>46225</v>
      </c>
      <c r="P383" s="90" t="s">
        <v>2009</v>
      </c>
      <c r="Q383" s="90">
        <v>80</v>
      </c>
      <c r="R383" s="90">
        <v>31060</v>
      </c>
      <c r="S383" s="130">
        <v>2700</v>
      </c>
      <c r="T383" s="90">
        <f t="shared" si="20"/>
        <v>28360</v>
      </c>
      <c r="U383" s="92">
        <f t="shared" si="21"/>
        <v>25781.818181818177</v>
      </c>
      <c r="V383" s="92">
        <f t="shared" si="22"/>
        <v>1031272727.2727271</v>
      </c>
      <c r="W383" s="92">
        <f t="shared" si="23"/>
        <v>103127272.72727272</v>
      </c>
      <c r="Y383" s="115"/>
    </row>
    <row r="384" spans="1:25" s="94" customFormat="1" ht="30" customHeight="1">
      <c r="A384" s="85">
        <v>374</v>
      </c>
      <c r="B384" s="86" t="s">
        <v>50</v>
      </c>
      <c r="C384" s="127" t="s">
        <v>43</v>
      </c>
      <c r="D384" s="127" t="s">
        <v>51</v>
      </c>
      <c r="E384" s="127" t="s">
        <v>54</v>
      </c>
      <c r="F384" s="117" t="s">
        <v>49</v>
      </c>
      <c r="G384" s="88">
        <v>46230</v>
      </c>
      <c r="H384" s="87" t="s">
        <v>2240</v>
      </c>
      <c r="I384" s="88" t="s">
        <v>2241</v>
      </c>
      <c r="J384" s="89" t="s">
        <v>2536</v>
      </c>
      <c r="K384" s="89" t="s">
        <v>2242</v>
      </c>
      <c r="L384" s="89" t="s">
        <v>2222</v>
      </c>
      <c r="M384" s="118" t="s">
        <v>2243</v>
      </c>
      <c r="N384" s="90">
        <v>4000</v>
      </c>
      <c r="O384" s="91">
        <v>46225</v>
      </c>
      <c r="P384" s="90" t="s">
        <v>2009</v>
      </c>
      <c r="Q384" s="90">
        <v>80</v>
      </c>
      <c r="R384" s="90">
        <v>31500</v>
      </c>
      <c r="S384" s="130">
        <v>3000</v>
      </c>
      <c r="T384" s="90">
        <f t="shared" si="20"/>
        <v>28500</v>
      </c>
      <c r="U384" s="92">
        <f t="shared" si="21"/>
        <v>25909.090909090904</v>
      </c>
      <c r="V384" s="92">
        <f t="shared" si="22"/>
        <v>103636363.63636363</v>
      </c>
      <c r="W384" s="92">
        <f t="shared" si="23"/>
        <v>10363636.363636363</v>
      </c>
      <c r="Y384" s="115"/>
    </row>
    <row r="385" spans="1:25" s="94" customFormat="1" ht="30" customHeight="1">
      <c r="A385" s="85">
        <v>375</v>
      </c>
      <c r="B385" s="86" t="s">
        <v>50</v>
      </c>
      <c r="C385" s="127">
        <v>91</v>
      </c>
      <c r="D385" s="127" t="s">
        <v>51</v>
      </c>
      <c r="E385" s="127" t="s">
        <v>54</v>
      </c>
      <c r="F385" s="117" t="s">
        <v>49</v>
      </c>
      <c r="G385" s="88">
        <v>46230</v>
      </c>
      <c r="H385" s="87" t="s">
        <v>2244</v>
      </c>
      <c r="I385" s="88" t="s">
        <v>2245</v>
      </c>
      <c r="J385" s="89" t="s">
        <v>2537</v>
      </c>
      <c r="K385" s="89" t="s">
        <v>2242</v>
      </c>
      <c r="L385" s="89" t="s">
        <v>2222</v>
      </c>
      <c r="M385" s="118" t="s">
        <v>2243</v>
      </c>
      <c r="N385" s="90">
        <v>4000</v>
      </c>
      <c r="O385" s="91">
        <v>46225</v>
      </c>
      <c r="P385" s="90" t="s">
        <v>2009</v>
      </c>
      <c r="Q385" s="90">
        <v>80</v>
      </c>
      <c r="R385" s="90">
        <v>33370</v>
      </c>
      <c r="S385" s="130">
        <v>900</v>
      </c>
      <c r="T385" s="90">
        <f t="shared" si="20"/>
        <v>32470</v>
      </c>
      <c r="U385" s="92">
        <f t="shared" si="21"/>
        <v>29518.181818181813</v>
      </c>
      <c r="V385" s="92">
        <f t="shared" si="22"/>
        <v>118072727.27272725</v>
      </c>
      <c r="W385" s="92">
        <f t="shared" si="23"/>
        <v>11807272.727272727</v>
      </c>
      <c r="Y385" s="115"/>
    </row>
    <row r="386" spans="1:25" s="94" customFormat="1" ht="30" customHeight="1">
      <c r="A386" s="85">
        <v>376</v>
      </c>
      <c r="B386" s="86" t="s">
        <v>50</v>
      </c>
      <c r="C386" s="127" t="s">
        <v>43</v>
      </c>
      <c r="D386" s="127" t="s">
        <v>51</v>
      </c>
      <c r="E386" s="127" t="s">
        <v>54</v>
      </c>
      <c r="F386" s="117" t="s">
        <v>49</v>
      </c>
      <c r="G386" s="88">
        <v>46230</v>
      </c>
      <c r="H386" s="87" t="s">
        <v>2246</v>
      </c>
      <c r="I386" s="88" t="s">
        <v>2247</v>
      </c>
      <c r="J386" s="89" t="s">
        <v>2538</v>
      </c>
      <c r="K386" s="89" t="s">
        <v>2248</v>
      </c>
      <c r="L386" s="89" t="s">
        <v>2222</v>
      </c>
      <c r="M386" s="118" t="s">
        <v>2249</v>
      </c>
      <c r="N386" s="90">
        <v>4000</v>
      </c>
      <c r="O386" s="91">
        <v>46225</v>
      </c>
      <c r="P386" s="90" t="s">
        <v>2009</v>
      </c>
      <c r="Q386" s="90">
        <v>80</v>
      </c>
      <c r="R386" s="90">
        <v>31500</v>
      </c>
      <c r="S386" s="130">
        <v>3000</v>
      </c>
      <c r="T386" s="90">
        <f t="shared" si="20"/>
        <v>28500</v>
      </c>
      <c r="U386" s="92">
        <f t="shared" si="21"/>
        <v>25909.090909090904</v>
      </c>
      <c r="V386" s="92">
        <f t="shared" si="22"/>
        <v>103636363.63636363</v>
      </c>
      <c r="W386" s="92">
        <f t="shared" si="23"/>
        <v>10363636.363636363</v>
      </c>
      <c r="Y386" s="115"/>
    </row>
    <row r="387" spans="1:25" s="94" customFormat="1" ht="30" customHeight="1">
      <c r="A387" s="85">
        <v>377</v>
      </c>
      <c r="B387" s="86" t="s">
        <v>50</v>
      </c>
      <c r="C387" s="127">
        <v>91</v>
      </c>
      <c r="D387" s="127" t="s">
        <v>51</v>
      </c>
      <c r="E387" s="127" t="s">
        <v>54</v>
      </c>
      <c r="F387" s="117" t="s">
        <v>49</v>
      </c>
      <c r="G387" s="88">
        <v>46230</v>
      </c>
      <c r="H387" s="87" t="s">
        <v>2250</v>
      </c>
      <c r="I387" s="88" t="s">
        <v>2251</v>
      </c>
      <c r="J387" s="89" t="s">
        <v>2539</v>
      </c>
      <c r="K387" s="89" t="s">
        <v>2248</v>
      </c>
      <c r="L387" s="89" t="s">
        <v>2222</v>
      </c>
      <c r="M387" s="118" t="s">
        <v>2249</v>
      </c>
      <c r="N387" s="90">
        <v>4000</v>
      </c>
      <c r="O387" s="91">
        <v>46225</v>
      </c>
      <c r="P387" s="90" t="s">
        <v>2009</v>
      </c>
      <c r="Q387" s="90">
        <v>80</v>
      </c>
      <c r="R387" s="90">
        <v>33370</v>
      </c>
      <c r="S387" s="130">
        <v>900</v>
      </c>
      <c r="T387" s="90">
        <f t="shared" si="20"/>
        <v>32470</v>
      </c>
      <c r="U387" s="92">
        <f t="shared" si="21"/>
        <v>29518.181818181813</v>
      </c>
      <c r="V387" s="92">
        <f t="shared" si="22"/>
        <v>118072727.27272725</v>
      </c>
      <c r="W387" s="92">
        <f t="shared" si="23"/>
        <v>11807272.727272727</v>
      </c>
      <c r="Y387" s="115"/>
    </row>
    <row r="388" spans="1:25" s="94" customFormat="1" ht="30" customHeight="1">
      <c r="A388" s="85">
        <v>378</v>
      </c>
      <c r="B388" s="86" t="s">
        <v>50</v>
      </c>
      <c r="C388" s="127" t="s">
        <v>43</v>
      </c>
      <c r="D388" s="127" t="s">
        <v>51</v>
      </c>
      <c r="E388" s="127" t="s">
        <v>54</v>
      </c>
      <c r="F388" s="117" t="s">
        <v>49</v>
      </c>
      <c r="G388" s="88">
        <v>46230</v>
      </c>
      <c r="H388" s="87" t="s">
        <v>2252</v>
      </c>
      <c r="I388" s="88" t="s">
        <v>2253</v>
      </c>
      <c r="J388" s="89" t="s">
        <v>2540</v>
      </c>
      <c r="K388" s="89" t="s">
        <v>783</v>
      </c>
      <c r="L388" s="89" t="s">
        <v>2222</v>
      </c>
      <c r="M388" s="118" t="s">
        <v>2254</v>
      </c>
      <c r="N388" s="90">
        <v>8000</v>
      </c>
      <c r="O388" s="91">
        <v>46225</v>
      </c>
      <c r="P388" s="90" t="s">
        <v>2009</v>
      </c>
      <c r="Q388" s="90">
        <v>80</v>
      </c>
      <c r="R388" s="90">
        <v>31420</v>
      </c>
      <c r="S388" s="130">
        <v>3100</v>
      </c>
      <c r="T388" s="90">
        <f t="shared" si="20"/>
        <v>28320</v>
      </c>
      <c r="U388" s="92">
        <f t="shared" si="21"/>
        <v>25745.45454545454</v>
      </c>
      <c r="V388" s="92">
        <f t="shared" si="22"/>
        <v>205963636.36363634</v>
      </c>
      <c r="W388" s="92">
        <f t="shared" si="23"/>
        <v>20596363.636363637</v>
      </c>
      <c r="Y388" s="115"/>
    </row>
    <row r="389" spans="1:25" s="94" customFormat="1" ht="30" customHeight="1">
      <c r="A389" s="85">
        <v>379</v>
      </c>
      <c r="B389" s="86" t="s">
        <v>1764</v>
      </c>
      <c r="C389" s="127" t="s">
        <v>43</v>
      </c>
      <c r="D389" s="127" t="s">
        <v>51</v>
      </c>
      <c r="E389" s="127" t="s">
        <v>53</v>
      </c>
      <c r="F389" s="117" t="s">
        <v>1765</v>
      </c>
      <c r="G389" s="88">
        <v>46230</v>
      </c>
      <c r="H389" s="87" t="s">
        <v>2267</v>
      </c>
      <c r="I389" s="88" t="s">
        <v>2265</v>
      </c>
      <c r="J389" s="89" t="s">
        <v>2317</v>
      </c>
      <c r="K389" s="89" t="s">
        <v>2266</v>
      </c>
      <c r="L389" s="89" t="s">
        <v>2222</v>
      </c>
      <c r="M389" s="118" t="s">
        <v>2239</v>
      </c>
      <c r="N389" s="90">
        <v>20000</v>
      </c>
      <c r="O389" s="91">
        <v>46225</v>
      </c>
      <c r="P389" s="90" t="s">
        <v>2009</v>
      </c>
      <c r="Q389" s="90">
        <v>80</v>
      </c>
      <c r="R389" s="90">
        <v>31060</v>
      </c>
      <c r="S389" s="130">
        <v>2700</v>
      </c>
      <c r="T389" s="90">
        <f t="shared" si="20"/>
        <v>28360</v>
      </c>
      <c r="U389" s="92">
        <f t="shared" si="21"/>
        <v>25781.818181818177</v>
      </c>
      <c r="V389" s="92">
        <f t="shared" si="22"/>
        <v>515636363.63636357</v>
      </c>
      <c r="W389" s="92">
        <f t="shared" si="23"/>
        <v>51563636.36363636</v>
      </c>
      <c r="Y389" s="115"/>
    </row>
    <row r="390" spans="1:25" s="94" customFormat="1" ht="30" customHeight="1">
      <c r="A390" s="85">
        <v>380</v>
      </c>
      <c r="B390" s="86" t="s">
        <v>50</v>
      </c>
      <c r="C390" s="127" t="s">
        <v>43</v>
      </c>
      <c r="D390" s="127" t="s">
        <v>51</v>
      </c>
      <c r="E390" s="127" t="s">
        <v>53</v>
      </c>
      <c r="F390" s="117" t="s">
        <v>49</v>
      </c>
      <c r="G390" s="88">
        <v>46230</v>
      </c>
      <c r="H390" s="87" t="s">
        <v>2268</v>
      </c>
      <c r="I390" s="88" t="s">
        <v>2269</v>
      </c>
      <c r="J390" s="89" t="s">
        <v>2472</v>
      </c>
      <c r="K390" s="89" t="s">
        <v>653</v>
      </c>
      <c r="L390" s="89" t="s">
        <v>2112</v>
      </c>
      <c r="M390" s="118" t="s">
        <v>2270</v>
      </c>
      <c r="N390" s="90">
        <v>200000</v>
      </c>
      <c r="O390" s="91">
        <v>46218</v>
      </c>
      <c r="P390" s="90" t="s">
        <v>2009</v>
      </c>
      <c r="Q390" s="90">
        <v>80</v>
      </c>
      <c r="R390" s="90">
        <v>28300</v>
      </c>
      <c r="S390" s="130">
        <v>5300</v>
      </c>
      <c r="T390" s="90">
        <f t="shared" si="20"/>
        <v>23000</v>
      </c>
      <c r="U390" s="92">
        <f t="shared" si="21"/>
        <v>20909.090909090904</v>
      </c>
      <c r="V390" s="92">
        <f t="shared" si="22"/>
        <v>4181818181.818181</v>
      </c>
      <c r="W390" s="92">
        <f t="shared" si="23"/>
        <v>418181818.18181813</v>
      </c>
      <c r="Y390" s="115"/>
    </row>
    <row r="391" spans="1:25" s="94" customFormat="1" ht="30" customHeight="1">
      <c r="A391" s="85">
        <v>381</v>
      </c>
      <c r="B391" s="86" t="s">
        <v>50</v>
      </c>
      <c r="C391" s="127" t="s">
        <v>43</v>
      </c>
      <c r="D391" s="127" t="s">
        <v>51</v>
      </c>
      <c r="E391" s="127" t="s">
        <v>52</v>
      </c>
      <c r="F391" s="117" t="s">
        <v>49</v>
      </c>
      <c r="G391" s="88">
        <v>46230</v>
      </c>
      <c r="H391" s="87" t="s">
        <v>2318</v>
      </c>
      <c r="I391" s="88" t="s">
        <v>2319</v>
      </c>
      <c r="J391" s="89" t="s">
        <v>2320</v>
      </c>
      <c r="K391" s="89" t="s">
        <v>2321</v>
      </c>
      <c r="L391" s="89" t="s">
        <v>2222</v>
      </c>
      <c r="M391" s="118" t="s">
        <v>2322</v>
      </c>
      <c r="N391" s="90">
        <v>20000</v>
      </c>
      <c r="O391" s="91">
        <v>46225</v>
      </c>
      <c r="P391" s="90" t="s">
        <v>2009</v>
      </c>
      <c r="Q391" s="90">
        <v>80</v>
      </c>
      <c r="R391" s="90">
        <v>31250</v>
      </c>
      <c r="S391" s="130">
        <v>4000</v>
      </c>
      <c r="T391" s="90">
        <f t="shared" si="20"/>
        <v>27250</v>
      </c>
      <c r="U391" s="92">
        <f t="shared" si="21"/>
        <v>24772.727272727268</v>
      </c>
      <c r="V391" s="92">
        <f t="shared" si="22"/>
        <v>495454545.45454538</v>
      </c>
      <c r="W391" s="92">
        <f t="shared" si="23"/>
        <v>49545454.545454539</v>
      </c>
      <c r="Y391" s="115"/>
    </row>
    <row r="392" spans="1:25" s="94" customFormat="1" ht="30" customHeight="1">
      <c r="A392" s="85">
        <v>382</v>
      </c>
      <c r="B392" s="86" t="s">
        <v>50</v>
      </c>
      <c r="C392" s="127" t="s">
        <v>43</v>
      </c>
      <c r="D392" s="127" t="s">
        <v>51</v>
      </c>
      <c r="E392" s="127" t="s">
        <v>54</v>
      </c>
      <c r="F392" s="117" t="s">
        <v>49</v>
      </c>
      <c r="G392" s="88">
        <v>46231</v>
      </c>
      <c r="H392" s="87" t="s">
        <v>2323</v>
      </c>
      <c r="I392" s="88" t="s">
        <v>2324</v>
      </c>
      <c r="J392" s="89" t="s">
        <v>2541</v>
      </c>
      <c r="K392" s="89" t="s">
        <v>2325</v>
      </c>
      <c r="L392" s="89" t="s">
        <v>2222</v>
      </c>
      <c r="M392" s="118" t="s">
        <v>2326</v>
      </c>
      <c r="N392" s="90">
        <v>16000</v>
      </c>
      <c r="O392" s="91">
        <v>46225</v>
      </c>
      <c r="P392" s="90" t="s">
        <v>2009</v>
      </c>
      <c r="Q392" s="90">
        <v>80</v>
      </c>
      <c r="R392" s="90">
        <v>31550</v>
      </c>
      <c r="S392" s="130">
        <v>1216</v>
      </c>
      <c r="T392" s="90">
        <f t="shared" si="20"/>
        <v>30334</v>
      </c>
      <c r="U392" s="92">
        <f t="shared" si="21"/>
        <v>27576.363636363632</v>
      </c>
      <c r="V392" s="92">
        <f t="shared" si="22"/>
        <v>441221818.18181813</v>
      </c>
      <c r="W392" s="92">
        <f t="shared" si="23"/>
        <v>44122181.818181813</v>
      </c>
      <c r="Y392" s="115"/>
    </row>
    <row r="393" spans="1:25" s="94" customFormat="1" ht="30" customHeight="1">
      <c r="A393" s="85">
        <v>383</v>
      </c>
      <c r="B393" s="86" t="s">
        <v>50</v>
      </c>
      <c r="C393" s="127" t="s">
        <v>43</v>
      </c>
      <c r="D393" s="127" t="s">
        <v>51</v>
      </c>
      <c r="E393" s="127" t="s">
        <v>54</v>
      </c>
      <c r="F393" s="117" t="s">
        <v>49</v>
      </c>
      <c r="G393" s="88">
        <v>46231</v>
      </c>
      <c r="H393" s="87" t="s">
        <v>2327</v>
      </c>
      <c r="I393" s="88" t="s">
        <v>2328</v>
      </c>
      <c r="J393" s="89" t="s">
        <v>2542</v>
      </c>
      <c r="K393" s="89" t="s">
        <v>2329</v>
      </c>
      <c r="L393" s="89" t="s">
        <v>2222</v>
      </c>
      <c r="M393" s="118" t="s">
        <v>2330</v>
      </c>
      <c r="N393" s="90">
        <v>20000</v>
      </c>
      <c r="O393" s="91">
        <v>46225</v>
      </c>
      <c r="P393" s="90" t="s">
        <v>2009</v>
      </c>
      <c r="Q393" s="90">
        <v>80</v>
      </c>
      <c r="R393" s="90">
        <v>31390</v>
      </c>
      <c r="S393" s="130">
        <v>2900</v>
      </c>
      <c r="T393" s="90">
        <f t="shared" si="20"/>
        <v>28490</v>
      </c>
      <c r="U393" s="92">
        <f t="shared" si="21"/>
        <v>25899.999999999996</v>
      </c>
      <c r="V393" s="92">
        <f t="shared" si="22"/>
        <v>517999999.99999994</v>
      </c>
      <c r="W393" s="92">
        <f t="shared" si="23"/>
        <v>51800000</v>
      </c>
      <c r="Y393" s="115"/>
    </row>
    <row r="394" spans="1:25" s="94" customFormat="1" ht="30" customHeight="1">
      <c r="A394" s="85">
        <v>384</v>
      </c>
      <c r="B394" s="86" t="s">
        <v>50</v>
      </c>
      <c r="C394" s="127" t="s">
        <v>43</v>
      </c>
      <c r="D394" s="127" t="s">
        <v>51</v>
      </c>
      <c r="E394" s="127" t="s">
        <v>52</v>
      </c>
      <c r="F394" s="117" t="s">
        <v>49</v>
      </c>
      <c r="G394" s="88">
        <v>46230</v>
      </c>
      <c r="H394" s="87" t="s">
        <v>2331</v>
      </c>
      <c r="I394" s="88" t="s">
        <v>2332</v>
      </c>
      <c r="J394" s="89" t="s">
        <v>2333</v>
      </c>
      <c r="K394" s="89" t="s">
        <v>2334</v>
      </c>
      <c r="L394" s="89" t="s">
        <v>2222</v>
      </c>
      <c r="M394" s="118" t="s">
        <v>2335</v>
      </c>
      <c r="N394" s="90">
        <v>10000</v>
      </c>
      <c r="O394" s="91">
        <v>46225</v>
      </c>
      <c r="P394" s="90" t="s">
        <v>2009</v>
      </c>
      <c r="Q394" s="90">
        <v>80</v>
      </c>
      <c r="R394" s="90">
        <v>30880</v>
      </c>
      <c r="S394" s="130">
        <v>1209</v>
      </c>
      <c r="T394" s="90">
        <f t="shared" si="20"/>
        <v>29671</v>
      </c>
      <c r="U394" s="92">
        <f t="shared" si="21"/>
        <v>26973.63636363636</v>
      </c>
      <c r="V394" s="92">
        <f t="shared" si="22"/>
        <v>269736363.63636357</v>
      </c>
      <c r="W394" s="92">
        <f t="shared" si="23"/>
        <v>26973636.36363636</v>
      </c>
      <c r="Y394" s="115"/>
    </row>
    <row r="395" spans="1:25" s="94" customFormat="1" ht="30" customHeight="1">
      <c r="A395" s="85">
        <v>385</v>
      </c>
      <c r="B395" s="86" t="s">
        <v>50</v>
      </c>
      <c r="C395" s="127" t="s">
        <v>43</v>
      </c>
      <c r="D395" s="127" t="s">
        <v>51</v>
      </c>
      <c r="E395" s="127" t="s">
        <v>52</v>
      </c>
      <c r="F395" s="117" t="s">
        <v>49</v>
      </c>
      <c r="G395" s="88">
        <v>46232</v>
      </c>
      <c r="H395" s="87" t="s">
        <v>2362</v>
      </c>
      <c r="I395" s="88" t="s">
        <v>2363</v>
      </c>
      <c r="J395" s="89" t="s">
        <v>2364</v>
      </c>
      <c r="K395" s="89" t="s">
        <v>848</v>
      </c>
      <c r="L395" s="89" t="s">
        <v>2365</v>
      </c>
      <c r="M395" s="118" t="s">
        <v>2366</v>
      </c>
      <c r="N395" s="90">
        <v>20000</v>
      </c>
      <c r="O395" s="91">
        <v>46225</v>
      </c>
      <c r="P395" s="90" t="s">
        <v>2009</v>
      </c>
      <c r="Q395" s="90">
        <v>80</v>
      </c>
      <c r="R395" s="90">
        <v>31180</v>
      </c>
      <c r="S395" s="130">
        <v>3100</v>
      </c>
      <c r="T395" s="90">
        <f t="shared" ref="T395:T413" si="24">+R395-S395</f>
        <v>28080</v>
      </c>
      <c r="U395" s="92">
        <f t="shared" ref="U395:U413" si="25">+T395*0.909090909090909</f>
        <v>25527.272727272724</v>
      </c>
      <c r="V395" s="92">
        <f t="shared" ref="V395:V413" si="26">+N395*T395*0.909090909090909</f>
        <v>510545454.54545444</v>
      </c>
      <c r="W395" s="92">
        <f t="shared" ref="W395:W413" si="27">+V395*10%</f>
        <v>51054545.454545446</v>
      </c>
      <c r="Y395" s="115"/>
    </row>
    <row r="396" spans="1:25" s="94" customFormat="1" ht="30" customHeight="1">
      <c r="A396" s="85">
        <v>386</v>
      </c>
      <c r="B396" s="86" t="s">
        <v>50</v>
      </c>
      <c r="C396" s="127" t="s">
        <v>43</v>
      </c>
      <c r="D396" s="127" t="s">
        <v>51</v>
      </c>
      <c r="E396" s="127" t="s">
        <v>54</v>
      </c>
      <c r="F396" s="117" t="s">
        <v>49</v>
      </c>
      <c r="G396" s="88">
        <v>46232</v>
      </c>
      <c r="H396" s="87" t="s">
        <v>2367</v>
      </c>
      <c r="I396" s="88" t="s">
        <v>2368</v>
      </c>
      <c r="J396" s="89" t="s">
        <v>2695</v>
      </c>
      <c r="K396" s="89" t="s">
        <v>852</v>
      </c>
      <c r="L396" s="89" t="s">
        <v>2365</v>
      </c>
      <c r="M396" s="118" t="s">
        <v>2369</v>
      </c>
      <c r="N396" s="90">
        <v>20000</v>
      </c>
      <c r="O396" s="91">
        <v>46225</v>
      </c>
      <c r="P396" s="90" t="s">
        <v>2009</v>
      </c>
      <c r="Q396" s="90">
        <v>80</v>
      </c>
      <c r="R396" s="90">
        <v>31430</v>
      </c>
      <c r="S396" s="130">
        <v>3100</v>
      </c>
      <c r="T396" s="90">
        <f t="shared" si="24"/>
        <v>28330</v>
      </c>
      <c r="U396" s="92">
        <f t="shared" si="25"/>
        <v>25754.545454545452</v>
      </c>
      <c r="V396" s="92">
        <f t="shared" si="26"/>
        <v>515090909.090909</v>
      </c>
      <c r="W396" s="92">
        <f t="shared" si="27"/>
        <v>51509090.909090906</v>
      </c>
      <c r="Y396" s="115"/>
    </row>
    <row r="397" spans="1:25" s="94" customFormat="1" ht="30" customHeight="1">
      <c r="A397" s="85">
        <v>387</v>
      </c>
      <c r="B397" s="86" t="s">
        <v>50</v>
      </c>
      <c r="C397" s="127" t="s">
        <v>43</v>
      </c>
      <c r="D397" s="127" t="s">
        <v>51</v>
      </c>
      <c r="E397" s="127" t="s">
        <v>61</v>
      </c>
      <c r="F397" s="117" t="s">
        <v>49</v>
      </c>
      <c r="G397" s="88">
        <v>46232</v>
      </c>
      <c r="H397" s="87" t="s">
        <v>2370</v>
      </c>
      <c r="I397" s="88" t="s">
        <v>2371</v>
      </c>
      <c r="J397" s="89" t="s">
        <v>2455</v>
      </c>
      <c r="K397" s="89" t="s">
        <v>864</v>
      </c>
      <c r="L397" s="89" t="s">
        <v>2365</v>
      </c>
      <c r="M397" s="118" t="s">
        <v>2372</v>
      </c>
      <c r="N397" s="90">
        <v>20000</v>
      </c>
      <c r="O397" s="91">
        <v>46225</v>
      </c>
      <c r="P397" s="90" t="s">
        <v>2009</v>
      </c>
      <c r="Q397" s="90">
        <v>80</v>
      </c>
      <c r="R397" s="90">
        <v>31430</v>
      </c>
      <c r="S397" s="130">
        <v>2900</v>
      </c>
      <c r="T397" s="90">
        <f t="shared" si="24"/>
        <v>28530</v>
      </c>
      <c r="U397" s="92">
        <f t="shared" si="25"/>
        <v>25936.363636363632</v>
      </c>
      <c r="V397" s="92">
        <f t="shared" si="26"/>
        <v>518727272.72727263</v>
      </c>
      <c r="W397" s="92">
        <f t="shared" si="27"/>
        <v>51872727.272727266</v>
      </c>
      <c r="Y397" s="115"/>
    </row>
    <row r="398" spans="1:25" s="94" customFormat="1" ht="30" customHeight="1">
      <c r="A398" s="85">
        <v>388</v>
      </c>
      <c r="B398" s="86" t="s">
        <v>50</v>
      </c>
      <c r="C398" s="127" t="s">
        <v>43</v>
      </c>
      <c r="D398" s="127" t="s">
        <v>51</v>
      </c>
      <c r="E398" s="127" t="s">
        <v>61</v>
      </c>
      <c r="F398" s="117" t="s">
        <v>49</v>
      </c>
      <c r="G398" s="88">
        <v>46232</v>
      </c>
      <c r="H398" s="87" t="s">
        <v>2373</v>
      </c>
      <c r="I398" s="88" t="s">
        <v>2374</v>
      </c>
      <c r="J398" s="89" t="s">
        <v>2454</v>
      </c>
      <c r="K398" s="89" t="s">
        <v>868</v>
      </c>
      <c r="L398" s="89" t="s">
        <v>2365</v>
      </c>
      <c r="M398" s="118" t="s">
        <v>2375</v>
      </c>
      <c r="N398" s="90">
        <v>20000</v>
      </c>
      <c r="O398" s="91">
        <v>46225</v>
      </c>
      <c r="P398" s="90" t="s">
        <v>2009</v>
      </c>
      <c r="Q398" s="90">
        <v>80</v>
      </c>
      <c r="R398" s="90">
        <v>31310</v>
      </c>
      <c r="S398" s="130">
        <v>2900</v>
      </c>
      <c r="T398" s="90">
        <f t="shared" si="24"/>
        <v>28410</v>
      </c>
      <c r="U398" s="92">
        <f t="shared" si="25"/>
        <v>25827.272727272724</v>
      </c>
      <c r="V398" s="92">
        <f t="shared" si="26"/>
        <v>516545454.54545444</v>
      </c>
      <c r="W398" s="92">
        <f t="shared" si="27"/>
        <v>51654545.454545446</v>
      </c>
      <c r="Y398" s="115"/>
    </row>
    <row r="399" spans="1:25" s="94" customFormat="1" ht="30" customHeight="1">
      <c r="A399" s="85">
        <v>389</v>
      </c>
      <c r="B399" s="86" t="s">
        <v>50</v>
      </c>
      <c r="C399" s="127" t="s">
        <v>43</v>
      </c>
      <c r="D399" s="127" t="s">
        <v>51</v>
      </c>
      <c r="E399" s="127" t="s">
        <v>54</v>
      </c>
      <c r="F399" s="117" t="s">
        <v>49</v>
      </c>
      <c r="G399" s="88">
        <v>46232</v>
      </c>
      <c r="H399" s="87" t="s">
        <v>2392</v>
      </c>
      <c r="I399" s="88" t="s">
        <v>2393</v>
      </c>
      <c r="J399" s="89" t="s">
        <v>2543</v>
      </c>
      <c r="K399" s="89" t="s">
        <v>890</v>
      </c>
      <c r="L399" s="89" t="s">
        <v>2365</v>
      </c>
      <c r="M399" s="118" t="s">
        <v>2394</v>
      </c>
      <c r="N399" s="90">
        <v>6239</v>
      </c>
      <c r="O399" s="91">
        <v>46225</v>
      </c>
      <c r="P399" s="90" t="s">
        <v>2009</v>
      </c>
      <c r="Q399" s="90">
        <v>80</v>
      </c>
      <c r="R399" s="90">
        <v>31420</v>
      </c>
      <c r="S399" s="130">
        <v>400</v>
      </c>
      <c r="T399" s="90">
        <f t="shared" si="24"/>
        <v>31020</v>
      </c>
      <c r="U399" s="92">
        <f t="shared" si="25"/>
        <v>28199.999999999996</v>
      </c>
      <c r="V399" s="92">
        <f t="shared" si="26"/>
        <v>175939799.99999997</v>
      </c>
      <c r="W399" s="92">
        <f t="shared" si="27"/>
        <v>17593979.999999996</v>
      </c>
      <c r="Y399" s="115"/>
    </row>
    <row r="400" spans="1:25" s="94" customFormat="1" ht="30" customHeight="1">
      <c r="A400" s="85">
        <v>390</v>
      </c>
      <c r="B400" s="86" t="s">
        <v>50</v>
      </c>
      <c r="C400" s="127" t="s">
        <v>43</v>
      </c>
      <c r="D400" s="127" t="s">
        <v>51</v>
      </c>
      <c r="E400" s="127" t="s">
        <v>54</v>
      </c>
      <c r="F400" s="117" t="s">
        <v>49</v>
      </c>
      <c r="G400" s="88">
        <v>46232</v>
      </c>
      <c r="H400" s="87" t="s">
        <v>2395</v>
      </c>
      <c r="I400" s="88" t="s">
        <v>2393</v>
      </c>
      <c r="J400" s="89" t="s">
        <v>2543</v>
      </c>
      <c r="K400" s="89" t="s">
        <v>890</v>
      </c>
      <c r="L400" s="89" t="s">
        <v>2365</v>
      </c>
      <c r="M400" s="118" t="s">
        <v>2394</v>
      </c>
      <c r="N400" s="90">
        <v>17408</v>
      </c>
      <c r="O400" s="91">
        <v>46225</v>
      </c>
      <c r="P400" s="90" t="s">
        <v>2009</v>
      </c>
      <c r="Q400" s="90">
        <v>80</v>
      </c>
      <c r="R400" s="90">
        <v>31420</v>
      </c>
      <c r="S400" s="130">
        <v>400</v>
      </c>
      <c r="T400" s="90">
        <f t="shared" si="24"/>
        <v>31020</v>
      </c>
      <c r="U400" s="92">
        <f t="shared" si="25"/>
        <v>28199.999999999996</v>
      </c>
      <c r="V400" s="92">
        <f t="shared" si="26"/>
        <v>490905599.99999994</v>
      </c>
      <c r="W400" s="92">
        <f t="shared" si="27"/>
        <v>49090560</v>
      </c>
      <c r="Y400" s="115"/>
    </row>
    <row r="401" spans="1:28" s="94" customFormat="1" ht="30" customHeight="1">
      <c r="A401" s="85">
        <v>391</v>
      </c>
      <c r="B401" s="86" t="s">
        <v>50</v>
      </c>
      <c r="C401" s="127" t="s">
        <v>43</v>
      </c>
      <c r="D401" s="127" t="s">
        <v>51</v>
      </c>
      <c r="E401" s="127" t="s">
        <v>52</v>
      </c>
      <c r="F401" s="117" t="s">
        <v>49</v>
      </c>
      <c r="G401" s="88">
        <v>46232</v>
      </c>
      <c r="H401" s="87" t="s">
        <v>2396</v>
      </c>
      <c r="I401" s="88" t="s">
        <v>2397</v>
      </c>
      <c r="J401" s="89" t="s">
        <v>2398</v>
      </c>
      <c r="K401" s="89" t="s">
        <v>880</v>
      </c>
      <c r="L401" s="89" t="s">
        <v>2365</v>
      </c>
      <c r="M401" s="118" t="s">
        <v>2399</v>
      </c>
      <c r="N401" s="90">
        <v>20000</v>
      </c>
      <c r="O401" s="91">
        <v>46225</v>
      </c>
      <c r="P401" s="90" t="s">
        <v>2009</v>
      </c>
      <c r="Q401" s="90">
        <v>80</v>
      </c>
      <c r="R401" s="90">
        <v>30880</v>
      </c>
      <c r="S401" s="130">
        <v>3100</v>
      </c>
      <c r="T401" s="90">
        <f t="shared" si="24"/>
        <v>27780</v>
      </c>
      <c r="U401" s="92">
        <f t="shared" si="25"/>
        <v>25254.545454545452</v>
      </c>
      <c r="V401" s="92">
        <f t="shared" si="26"/>
        <v>505090909.090909</v>
      </c>
      <c r="W401" s="92">
        <f t="shared" si="27"/>
        <v>50509090.909090906</v>
      </c>
      <c r="Y401" s="115"/>
    </row>
    <row r="402" spans="1:28" s="94" customFormat="1" ht="30" customHeight="1">
      <c r="A402" s="85">
        <v>392</v>
      </c>
      <c r="B402" s="86" t="s">
        <v>50</v>
      </c>
      <c r="C402" s="127" t="s">
        <v>43</v>
      </c>
      <c r="D402" s="127" t="s">
        <v>51</v>
      </c>
      <c r="E402" s="127" t="s">
        <v>52</v>
      </c>
      <c r="F402" s="117" t="s">
        <v>49</v>
      </c>
      <c r="G402" s="88">
        <v>46232</v>
      </c>
      <c r="H402" s="87" t="s">
        <v>2400</v>
      </c>
      <c r="I402" s="88" t="s">
        <v>2401</v>
      </c>
      <c r="J402" s="89" t="s">
        <v>2402</v>
      </c>
      <c r="K402" s="89" t="s">
        <v>885</v>
      </c>
      <c r="L402" s="89" t="s">
        <v>2365</v>
      </c>
      <c r="M402" s="118" t="s">
        <v>2403</v>
      </c>
      <c r="N402" s="90">
        <v>8000</v>
      </c>
      <c r="O402" s="91">
        <v>46225</v>
      </c>
      <c r="P402" s="90" t="s">
        <v>2009</v>
      </c>
      <c r="Q402" s="90">
        <v>80</v>
      </c>
      <c r="R402" s="90">
        <v>30880</v>
      </c>
      <c r="S402" s="130">
        <v>3100</v>
      </c>
      <c r="T402" s="90">
        <f t="shared" si="24"/>
        <v>27780</v>
      </c>
      <c r="U402" s="92">
        <f t="shared" si="25"/>
        <v>25254.545454545452</v>
      </c>
      <c r="V402" s="92">
        <f t="shared" si="26"/>
        <v>202036363.6363636</v>
      </c>
      <c r="W402" s="92">
        <f t="shared" si="27"/>
        <v>20203636.36363636</v>
      </c>
      <c r="Y402" s="115"/>
    </row>
    <row r="403" spans="1:28" s="94" customFormat="1" ht="30" customHeight="1">
      <c r="A403" s="85">
        <v>393</v>
      </c>
      <c r="B403" s="86" t="s">
        <v>50</v>
      </c>
      <c r="C403" s="127" t="s">
        <v>43</v>
      </c>
      <c r="D403" s="127" t="s">
        <v>51</v>
      </c>
      <c r="E403" s="127" t="s">
        <v>55</v>
      </c>
      <c r="F403" s="117" t="s">
        <v>49</v>
      </c>
      <c r="G403" s="88">
        <v>46232</v>
      </c>
      <c r="H403" s="87" t="s">
        <v>2404</v>
      </c>
      <c r="I403" s="88" t="s">
        <v>2405</v>
      </c>
      <c r="J403" s="89" t="s">
        <v>2619</v>
      </c>
      <c r="K403" s="89" t="s">
        <v>898</v>
      </c>
      <c r="L403" s="89" t="s">
        <v>2365</v>
      </c>
      <c r="M403" s="118" t="s">
        <v>2406</v>
      </c>
      <c r="N403" s="90">
        <v>40037</v>
      </c>
      <c r="O403" s="91">
        <v>46225</v>
      </c>
      <c r="P403" s="90" t="s">
        <v>2009</v>
      </c>
      <c r="Q403" s="90">
        <v>80</v>
      </c>
      <c r="R403" s="90">
        <v>30910</v>
      </c>
      <c r="S403" s="130">
        <v>400</v>
      </c>
      <c r="T403" s="90">
        <f t="shared" si="24"/>
        <v>30510</v>
      </c>
      <c r="U403" s="92">
        <f t="shared" si="25"/>
        <v>27736.363636363632</v>
      </c>
      <c r="V403" s="92">
        <f t="shared" si="26"/>
        <v>1110480790.9090908</v>
      </c>
      <c r="W403" s="92">
        <f t="shared" si="27"/>
        <v>111048079.09090908</v>
      </c>
      <c r="Y403" s="115"/>
    </row>
    <row r="404" spans="1:28" s="94" customFormat="1" ht="30" customHeight="1">
      <c r="A404" s="85">
        <v>394</v>
      </c>
      <c r="B404" s="86" t="s">
        <v>50</v>
      </c>
      <c r="C404" s="127" t="s">
        <v>43</v>
      </c>
      <c r="D404" s="127" t="s">
        <v>51</v>
      </c>
      <c r="E404" s="127" t="s">
        <v>61</v>
      </c>
      <c r="F404" s="117" t="s">
        <v>49</v>
      </c>
      <c r="G404" s="88">
        <v>46218</v>
      </c>
      <c r="H404" s="87" t="s">
        <v>2407</v>
      </c>
      <c r="I404" s="88" t="s">
        <v>2408</v>
      </c>
      <c r="J404" s="89" t="s">
        <v>2456</v>
      </c>
      <c r="K404" s="89" t="s">
        <v>901</v>
      </c>
      <c r="L404" s="89" t="s">
        <v>1365</v>
      </c>
      <c r="M404" s="118" t="s">
        <v>1415</v>
      </c>
      <c r="N404" s="90">
        <v>20000</v>
      </c>
      <c r="O404" s="91">
        <v>46211</v>
      </c>
      <c r="P404" s="90" t="s">
        <v>2009</v>
      </c>
      <c r="Q404" s="90">
        <v>80</v>
      </c>
      <c r="R404" s="90">
        <v>25590</v>
      </c>
      <c r="S404" s="130">
        <v>5300</v>
      </c>
      <c r="T404" s="90">
        <f t="shared" si="24"/>
        <v>20290</v>
      </c>
      <c r="U404" s="92">
        <f t="shared" si="25"/>
        <v>18445.454545454544</v>
      </c>
      <c r="V404" s="92">
        <f t="shared" si="26"/>
        <v>368909090.90909088</v>
      </c>
      <c r="W404" s="92">
        <f t="shared" si="27"/>
        <v>36890909.090909086</v>
      </c>
      <c r="Y404" s="115"/>
    </row>
    <row r="405" spans="1:28" s="94" customFormat="1" ht="30" customHeight="1">
      <c r="A405" s="85">
        <v>395</v>
      </c>
      <c r="B405" s="86" t="s">
        <v>50</v>
      </c>
      <c r="C405" s="127" t="s">
        <v>43</v>
      </c>
      <c r="D405" s="127" t="s">
        <v>51</v>
      </c>
      <c r="E405" s="127" t="s">
        <v>53</v>
      </c>
      <c r="F405" s="117" t="s">
        <v>49</v>
      </c>
      <c r="G405" s="88">
        <v>46232</v>
      </c>
      <c r="H405" s="87" t="s">
        <v>2409</v>
      </c>
      <c r="I405" s="88" t="s">
        <v>2410</v>
      </c>
      <c r="J405" s="89" t="s">
        <v>2473</v>
      </c>
      <c r="K405" s="89" t="s">
        <v>2411</v>
      </c>
      <c r="L405" s="89" t="s">
        <v>2365</v>
      </c>
      <c r="M405" s="118" t="s">
        <v>2412</v>
      </c>
      <c r="N405" s="90">
        <v>5561</v>
      </c>
      <c r="O405" s="91">
        <v>46225</v>
      </c>
      <c r="P405" s="90" t="s">
        <v>2009</v>
      </c>
      <c r="Q405" s="90">
        <v>80</v>
      </c>
      <c r="R405" s="90">
        <v>30910</v>
      </c>
      <c r="S405" s="130">
        <v>400</v>
      </c>
      <c r="T405" s="90">
        <f t="shared" si="24"/>
        <v>30510</v>
      </c>
      <c r="U405" s="92">
        <f t="shared" si="25"/>
        <v>27736.363636363632</v>
      </c>
      <c r="V405" s="92">
        <f t="shared" si="26"/>
        <v>154241918.18181816</v>
      </c>
      <c r="W405" s="92">
        <f t="shared" si="27"/>
        <v>15424191.818181816</v>
      </c>
      <c r="Y405" s="115"/>
    </row>
    <row r="406" spans="1:28" s="94" customFormat="1" ht="30" customHeight="1">
      <c r="A406" s="85">
        <v>396</v>
      </c>
      <c r="B406" s="86" t="s">
        <v>50</v>
      </c>
      <c r="C406" s="127" t="s">
        <v>43</v>
      </c>
      <c r="D406" s="127" t="s">
        <v>51</v>
      </c>
      <c r="E406" s="127" t="s">
        <v>53</v>
      </c>
      <c r="F406" s="117" t="s">
        <v>49</v>
      </c>
      <c r="G406" s="88">
        <v>46232</v>
      </c>
      <c r="H406" s="87" t="s">
        <v>2413</v>
      </c>
      <c r="I406" s="88" t="s">
        <v>2410</v>
      </c>
      <c r="J406" s="89" t="s">
        <v>2473</v>
      </c>
      <c r="K406" s="89" t="s">
        <v>2411</v>
      </c>
      <c r="L406" s="89" t="s">
        <v>2365</v>
      </c>
      <c r="M406" s="118" t="s">
        <v>2412</v>
      </c>
      <c r="N406" s="90">
        <v>8700</v>
      </c>
      <c r="O406" s="91">
        <v>46225</v>
      </c>
      <c r="P406" s="90" t="s">
        <v>2009</v>
      </c>
      <c r="Q406" s="90">
        <v>80</v>
      </c>
      <c r="R406" s="90">
        <v>30910</v>
      </c>
      <c r="S406" s="130">
        <v>400</v>
      </c>
      <c r="T406" s="90">
        <f t="shared" si="24"/>
        <v>30510</v>
      </c>
      <c r="U406" s="92">
        <f t="shared" si="25"/>
        <v>27736.363636363632</v>
      </c>
      <c r="V406" s="92">
        <f t="shared" si="26"/>
        <v>241306363.6363636</v>
      </c>
      <c r="W406" s="92">
        <f t="shared" si="27"/>
        <v>24130636.36363636</v>
      </c>
      <c r="Y406" s="115"/>
    </row>
    <row r="407" spans="1:28" s="94" customFormat="1" ht="30" customHeight="1">
      <c r="A407" s="85">
        <v>397</v>
      </c>
      <c r="B407" s="86" t="s">
        <v>50</v>
      </c>
      <c r="C407" s="127" t="s">
        <v>43</v>
      </c>
      <c r="D407" s="127" t="s">
        <v>51</v>
      </c>
      <c r="E407" s="127" t="s">
        <v>61</v>
      </c>
      <c r="F407" s="117" t="s">
        <v>49</v>
      </c>
      <c r="G407" s="88">
        <v>46232</v>
      </c>
      <c r="H407" s="87" t="s">
        <v>2418</v>
      </c>
      <c r="I407" s="88" t="s">
        <v>2419</v>
      </c>
      <c r="J407" s="89" t="s">
        <v>2457</v>
      </c>
      <c r="K407" s="89" t="s">
        <v>2420</v>
      </c>
      <c r="L407" s="89" t="s">
        <v>2365</v>
      </c>
      <c r="M407" s="118" t="s">
        <v>2421</v>
      </c>
      <c r="N407" s="90">
        <v>12266</v>
      </c>
      <c r="O407" s="91">
        <v>46225</v>
      </c>
      <c r="P407" s="90" t="s">
        <v>2009</v>
      </c>
      <c r="Q407" s="90">
        <v>80</v>
      </c>
      <c r="R407" s="90">
        <v>30990</v>
      </c>
      <c r="S407" s="90">
        <v>400</v>
      </c>
      <c r="T407" s="90">
        <f t="shared" si="24"/>
        <v>30590</v>
      </c>
      <c r="U407" s="92">
        <f t="shared" si="25"/>
        <v>27809.090909090904</v>
      </c>
      <c r="V407" s="92">
        <f t="shared" si="26"/>
        <v>341106309.09090906</v>
      </c>
      <c r="W407" s="92">
        <f t="shared" si="27"/>
        <v>34110630.909090906</v>
      </c>
      <c r="Y407" s="115"/>
    </row>
    <row r="408" spans="1:28" s="94" customFormat="1" ht="30" customHeight="1">
      <c r="A408" s="85">
        <v>398</v>
      </c>
      <c r="B408" s="86" t="s">
        <v>50</v>
      </c>
      <c r="C408" s="127" t="s">
        <v>43</v>
      </c>
      <c r="D408" s="127" t="s">
        <v>51</v>
      </c>
      <c r="E408" s="127" t="s">
        <v>52</v>
      </c>
      <c r="F408" s="117" t="s">
        <v>49</v>
      </c>
      <c r="G408" s="88">
        <v>46232</v>
      </c>
      <c r="H408" s="87" t="s">
        <v>2422</v>
      </c>
      <c r="I408" s="88" t="s">
        <v>2423</v>
      </c>
      <c r="J408" s="89" t="s">
        <v>2424</v>
      </c>
      <c r="K408" s="89" t="s">
        <v>2425</v>
      </c>
      <c r="L408" s="89" t="s">
        <v>2365</v>
      </c>
      <c r="M408" s="118" t="s">
        <v>2426</v>
      </c>
      <c r="N408" s="90">
        <v>15420</v>
      </c>
      <c r="O408" s="91">
        <v>46225</v>
      </c>
      <c r="P408" s="90" t="s">
        <v>2009</v>
      </c>
      <c r="Q408" s="90">
        <v>80</v>
      </c>
      <c r="R408" s="90">
        <v>30880</v>
      </c>
      <c r="S408" s="90">
        <v>400</v>
      </c>
      <c r="T408" s="90">
        <f t="shared" si="24"/>
        <v>30480</v>
      </c>
      <c r="U408" s="92">
        <f t="shared" si="25"/>
        <v>27709.090909090904</v>
      </c>
      <c r="V408" s="92">
        <f t="shared" si="26"/>
        <v>427274181.81818175</v>
      </c>
      <c r="W408" s="92">
        <f t="shared" si="27"/>
        <v>42727418.18181818</v>
      </c>
      <c r="Y408" s="115"/>
    </row>
    <row r="409" spans="1:28" s="94" customFormat="1" ht="30" customHeight="1">
      <c r="A409" s="85">
        <v>400</v>
      </c>
      <c r="B409" s="86" t="s">
        <v>50</v>
      </c>
      <c r="C409" s="127" t="s">
        <v>43</v>
      </c>
      <c r="D409" s="127" t="s">
        <v>51</v>
      </c>
      <c r="E409" s="127" t="s">
        <v>61</v>
      </c>
      <c r="F409" s="117" t="s">
        <v>49</v>
      </c>
      <c r="G409" s="88">
        <v>46233</v>
      </c>
      <c r="H409" s="87" t="s">
        <v>2656</v>
      </c>
      <c r="I409" s="88" t="s">
        <v>2657</v>
      </c>
      <c r="J409" s="89" t="s">
        <v>2698</v>
      </c>
      <c r="K409" s="89" t="s">
        <v>2658</v>
      </c>
      <c r="L409" s="89" t="s">
        <v>2659</v>
      </c>
      <c r="M409" s="118" t="s">
        <v>2660</v>
      </c>
      <c r="N409" s="90">
        <v>60</v>
      </c>
      <c r="O409" s="91">
        <v>46232</v>
      </c>
      <c r="P409" s="90" t="s">
        <v>2661</v>
      </c>
      <c r="Q409" s="90">
        <v>80</v>
      </c>
      <c r="R409" s="90">
        <v>32500</v>
      </c>
      <c r="S409" s="90">
        <v>400</v>
      </c>
      <c r="T409" s="90">
        <f t="shared" si="24"/>
        <v>32100</v>
      </c>
      <c r="U409" s="92">
        <f t="shared" si="25"/>
        <v>29181.818181818177</v>
      </c>
      <c r="V409" s="92">
        <f t="shared" si="26"/>
        <v>1750909.0909090906</v>
      </c>
      <c r="W409" s="92">
        <f t="shared" si="27"/>
        <v>175090.90909090906</v>
      </c>
      <c r="Y409" s="115"/>
    </row>
    <row r="410" spans="1:28" s="94" customFormat="1" ht="30" customHeight="1">
      <c r="A410" s="85">
        <v>401</v>
      </c>
      <c r="B410" s="86" t="s">
        <v>50</v>
      </c>
      <c r="C410" s="127" t="s">
        <v>43</v>
      </c>
      <c r="D410" s="127" t="s">
        <v>51</v>
      </c>
      <c r="E410" s="127" t="s">
        <v>54</v>
      </c>
      <c r="F410" s="117" t="s">
        <v>49</v>
      </c>
      <c r="G410" s="88">
        <v>46233</v>
      </c>
      <c r="H410" s="87" t="s">
        <v>2662</v>
      </c>
      <c r="I410" s="88" t="s">
        <v>2665</v>
      </c>
      <c r="J410" s="89" t="s">
        <v>2694</v>
      </c>
      <c r="K410" s="89" t="s">
        <v>2663</v>
      </c>
      <c r="L410" s="89" t="s">
        <v>2659</v>
      </c>
      <c r="M410" s="118" t="s">
        <v>2664</v>
      </c>
      <c r="N410" s="90">
        <v>2740</v>
      </c>
      <c r="O410" s="91">
        <v>46232</v>
      </c>
      <c r="P410" s="90" t="s">
        <v>2661</v>
      </c>
      <c r="Q410" s="90">
        <v>80</v>
      </c>
      <c r="R410" s="90">
        <v>32930</v>
      </c>
      <c r="S410" s="90">
        <v>400</v>
      </c>
      <c r="T410" s="90">
        <f t="shared" si="24"/>
        <v>32530</v>
      </c>
      <c r="U410" s="92">
        <f t="shared" si="25"/>
        <v>29572.727272727268</v>
      </c>
      <c r="V410" s="92">
        <f t="shared" si="26"/>
        <v>81029272.727272719</v>
      </c>
      <c r="W410" s="92">
        <f t="shared" si="27"/>
        <v>8102927.2727272725</v>
      </c>
      <c r="Y410" s="115"/>
    </row>
    <row r="411" spans="1:28" s="94" customFormat="1" ht="30" customHeight="1">
      <c r="A411" s="85">
        <v>402</v>
      </c>
      <c r="B411" s="86" t="s">
        <v>50</v>
      </c>
      <c r="C411" s="127" t="s">
        <v>43</v>
      </c>
      <c r="D411" s="127" t="s">
        <v>51</v>
      </c>
      <c r="E411" s="127" t="s">
        <v>53</v>
      </c>
      <c r="F411" s="117" t="s">
        <v>49</v>
      </c>
      <c r="G411" s="88">
        <v>46233</v>
      </c>
      <c r="H411" s="87" t="s">
        <v>2668</v>
      </c>
      <c r="I411" s="88" t="s">
        <v>2666</v>
      </c>
      <c r="J411" s="89" t="s">
        <v>2696</v>
      </c>
      <c r="K411" s="89" t="s">
        <v>2669</v>
      </c>
      <c r="L411" s="89" t="s">
        <v>2659</v>
      </c>
      <c r="M411" s="118" t="s">
        <v>2670</v>
      </c>
      <c r="N411" s="90">
        <v>2400</v>
      </c>
      <c r="O411" s="91">
        <v>46232</v>
      </c>
      <c r="P411" s="90" t="s">
        <v>2661</v>
      </c>
      <c r="Q411" s="90">
        <v>80</v>
      </c>
      <c r="R411" s="90">
        <v>32420</v>
      </c>
      <c r="S411" s="90">
        <v>400</v>
      </c>
      <c r="T411" s="90">
        <f t="shared" si="24"/>
        <v>32020</v>
      </c>
      <c r="U411" s="92">
        <f t="shared" si="25"/>
        <v>29109.090909090904</v>
      </c>
      <c r="V411" s="92">
        <f t="shared" si="26"/>
        <v>69861818.181818172</v>
      </c>
      <c r="W411" s="92">
        <f t="shared" si="27"/>
        <v>6986181.8181818174</v>
      </c>
      <c r="Y411" s="115"/>
    </row>
    <row r="412" spans="1:28" s="94" customFormat="1" ht="30" customHeight="1">
      <c r="A412" s="85">
        <v>399</v>
      </c>
      <c r="B412" s="86" t="s">
        <v>50</v>
      </c>
      <c r="C412" s="127" t="s">
        <v>43</v>
      </c>
      <c r="D412" s="127" t="s">
        <v>51</v>
      </c>
      <c r="E412" s="127" t="s">
        <v>52</v>
      </c>
      <c r="F412" s="117" t="s">
        <v>49</v>
      </c>
      <c r="G412" s="88">
        <v>46233</v>
      </c>
      <c r="H412" s="87" t="s">
        <v>2671</v>
      </c>
      <c r="I412" s="88" t="s">
        <v>2667</v>
      </c>
      <c r="J412" s="89" t="s">
        <v>2672</v>
      </c>
      <c r="K412" s="89" t="s">
        <v>2673</v>
      </c>
      <c r="L412" s="89" t="s">
        <v>2659</v>
      </c>
      <c r="M412" s="118" t="s">
        <v>2674</v>
      </c>
      <c r="N412" s="90">
        <v>2300</v>
      </c>
      <c r="O412" s="91">
        <v>46232</v>
      </c>
      <c r="P412" s="90" t="s">
        <v>2661</v>
      </c>
      <c r="Q412" s="90">
        <v>80</v>
      </c>
      <c r="R412" s="90">
        <v>32390</v>
      </c>
      <c r="S412" s="90">
        <v>400</v>
      </c>
      <c r="T412" s="90">
        <f t="shared" si="24"/>
        <v>31990</v>
      </c>
      <c r="U412" s="92">
        <f t="shared" si="25"/>
        <v>29081.818181818177</v>
      </c>
      <c r="V412" s="92">
        <f t="shared" si="26"/>
        <v>66888181.818181805</v>
      </c>
      <c r="W412" s="92">
        <f t="shared" si="27"/>
        <v>6688818.1818181807</v>
      </c>
      <c r="Y412" s="115"/>
    </row>
    <row r="413" spans="1:28" s="94" customFormat="1" ht="30" customHeight="1">
      <c r="A413" s="85">
        <v>403</v>
      </c>
      <c r="B413" s="86" t="s">
        <v>50</v>
      </c>
      <c r="C413" s="127" t="s">
        <v>43</v>
      </c>
      <c r="D413" s="127" t="s">
        <v>51</v>
      </c>
      <c r="E413" s="127" t="s">
        <v>55</v>
      </c>
      <c r="F413" s="117" t="s">
        <v>49</v>
      </c>
      <c r="G413" s="88">
        <v>46233</v>
      </c>
      <c r="H413" s="87" t="s">
        <v>2675</v>
      </c>
      <c r="I413" s="88" t="s">
        <v>2667</v>
      </c>
      <c r="J413" s="89" t="s">
        <v>2697</v>
      </c>
      <c r="K413" s="89" t="s">
        <v>944</v>
      </c>
      <c r="L413" s="89" t="s">
        <v>2659</v>
      </c>
      <c r="M413" s="118" t="s">
        <v>2676</v>
      </c>
      <c r="N413" s="90">
        <v>644</v>
      </c>
      <c r="O413" s="91">
        <v>46232</v>
      </c>
      <c r="P413" s="90" t="s">
        <v>2661</v>
      </c>
      <c r="Q413" s="90">
        <v>80</v>
      </c>
      <c r="R413" s="90">
        <v>32420</v>
      </c>
      <c r="S413" s="90">
        <v>400</v>
      </c>
      <c r="T413" s="90">
        <f t="shared" si="24"/>
        <v>32020</v>
      </c>
      <c r="U413" s="92">
        <f t="shared" si="25"/>
        <v>29109.090909090904</v>
      </c>
      <c r="V413" s="92">
        <f t="shared" si="26"/>
        <v>18746254.545454543</v>
      </c>
      <c r="W413" s="92">
        <f t="shared" si="27"/>
        <v>1874625.4545454544</v>
      </c>
      <c r="Y413" s="115"/>
    </row>
    <row r="414" spans="1:28" s="101" customFormat="1" ht="29" customHeight="1">
      <c r="A414" s="95"/>
      <c r="B414" s="96" t="s">
        <v>15</v>
      </c>
      <c r="C414" s="95"/>
      <c r="D414" s="95"/>
      <c r="E414" s="95"/>
      <c r="F414" s="95"/>
      <c r="G414" s="98"/>
      <c r="H414" s="95"/>
      <c r="I414" s="97"/>
      <c r="J414" s="97"/>
      <c r="K414" s="97"/>
      <c r="L414" s="97"/>
      <c r="M414" s="97"/>
      <c r="N414" s="99">
        <f>SUBTOTAL(9,N11:N413)</f>
        <v>14104775</v>
      </c>
      <c r="O414" s="100"/>
      <c r="P414" s="99"/>
      <c r="Q414" s="99"/>
      <c r="R414" s="99"/>
      <c r="S414" s="99"/>
      <c r="T414" s="99"/>
      <c r="U414" s="113"/>
      <c r="V414" s="113">
        <f>SUBTOTAL(9,V11:V413)</f>
        <v>280068789581.81824</v>
      </c>
      <c r="W414" s="113">
        <f>SUBTOTAL(9,W11:W413)</f>
        <v>28006878958.181808</v>
      </c>
      <c r="X414" s="99">
        <f>SUM('[1]General Ledger'!I2:I32)</f>
        <v>28017889999.999996</v>
      </c>
      <c r="Y414" s="66"/>
      <c r="Z414" s="66"/>
      <c r="AA414" s="66"/>
      <c r="AB414" s="66"/>
    </row>
    <row r="415" spans="1:28" ht="30" customHeight="1">
      <c r="O415" s="70"/>
    </row>
    <row r="416" spans="1:28" ht="30" customHeight="1">
      <c r="N416" s="70" t="s">
        <v>2655</v>
      </c>
    </row>
    <row r="417" spans="2:25" ht="30" customHeight="1">
      <c r="Y417" s="72"/>
    </row>
    <row r="418" spans="2:25" ht="30" customHeight="1">
      <c r="B418" s="102" t="s">
        <v>16</v>
      </c>
      <c r="C418" s="80"/>
      <c r="D418" s="80"/>
      <c r="E418" s="103"/>
      <c r="F418" s="103"/>
      <c r="G418" s="104"/>
      <c r="H418" s="103"/>
      <c r="I418" s="103"/>
      <c r="J418" s="103"/>
      <c r="K418" s="103"/>
      <c r="L418" s="103" t="s">
        <v>28</v>
      </c>
      <c r="M418" s="103"/>
      <c r="N418" s="105">
        <v>22</v>
      </c>
      <c r="O418" s="106"/>
      <c r="P418" s="105"/>
      <c r="Q418" s="105"/>
      <c r="R418" s="105"/>
      <c r="S418" s="105"/>
      <c r="T418" s="105"/>
      <c r="U418" s="103" t="s">
        <v>46</v>
      </c>
      <c r="V418" s="103"/>
      <c r="W418" s="103"/>
      <c r="X418" s="107"/>
      <c r="Y418" s="70"/>
    </row>
    <row r="419" spans="2:25" ht="30" customHeight="1">
      <c r="G419" s="68"/>
      <c r="N419" s="68"/>
      <c r="O419" s="108"/>
      <c r="P419" s="68"/>
      <c r="Q419" s="68"/>
      <c r="R419" s="68"/>
      <c r="S419" s="68"/>
      <c r="T419" s="68"/>
      <c r="U419" s="114"/>
      <c r="V419" s="114"/>
      <c r="W419" s="114"/>
      <c r="X419" s="70">
        <f>X414+'Total ນ້ຳມັນກາຊວນ NONTAX'!V14</f>
        <v>38409392276.616997</v>
      </c>
    </row>
  </sheetData>
  <autoFilter ref="A9:X413" xr:uid="{EC4EE9C6-B516-A146-9B5A-3BE7E6D13B4C}">
    <sortState ref="A12:X413">
      <sortCondition ref="I9:I413"/>
    </sortState>
  </autoFilter>
  <mergeCells count="21">
    <mergeCell ref="V9:V10"/>
    <mergeCell ref="W9:W10"/>
    <mergeCell ref="X9:X10"/>
    <mergeCell ref="M9:M10"/>
    <mergeCell ref="N9:N10"/>
    <mergeCell ref="O9:R9"/>
    <mergeCell ref="S9:S10"/>
    <mergeCell ref="T9:T10"/>
    <mergeCell ref="U9:U10"/>
    <mergeCell ref="L9:L10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</mergeCells>
  <phoneticPr fontId="3"/>
  <printOptions horizontalCentered="1"/>
  <pageMargins left="0.25" right="0.25" top="1" bottom="0.75" header="0.3" footer="0"/>
  <pageSetup paperSize="9" scale="24" fitToHeight="15" pageOrder="overThenDown" orientation="portrait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Total ນ້ຳມັນກາຊວນ +ແອັດຊັງ91 </vt:lpstr>
      <vt:lpstr>Total ນ້ຳມັນກາຊວນ NONTAX</vt:lpstr>
      <vt:lpstr>Total ນ້ຳມັນກາຊວນ ຫົງສາ</vt:lpstr>
      <vt:lpstr>Total ຍອດ​ຂາຍນ້ຳ​ມັນ​ເຄື່ອງ.</vt:lpstr>
      <vt:lpstr>Total ນ້ຳມັນກາຊວນ +ແອັດຊັງ9 (2)</vt:lpstr>
      <vt:lpstr>'Total ນ້ຳມັນກາຊວນ +ແອັດຊັງ9 (2)'!partner_invoice_id</vt:lpstr>
      <vt:lpstr>'Total ຍອດ​ຂາຍນ້ຳ​ມັນ​ເຄື່ອງ.'!Print_Area</vt:lpstr>
      <vt:lpstr>'Total ນ້ຳມັນກາຊວນ +ແອັດຊັງ9 (2)'!Print_Area</vt:lpstr>
      <vt:lpstr>'Total ນ້ຳມັນກາຊວນ +ແອັດຊັງ91 '!Print_Area</vt:lpstr>
      <vt:lpstr>'Total ນ້ຳມັນກາຊວນ NONTAX'!Print_Area</vt:lpstr>
      <vt:lpstr>'Total ນ້ຳມັນກາຊວນ ຫົງສາ'!Print_Area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2025-02-06T03:54:38Z</cp:lastPrinted>
  <dcterms:created xsi:type="dcterms:W3CDTF">2025-01-07T09:36:06Z</dcterms:created>
  <dcterms:modified xsi:type="dcterms:W3CDTF">2026-08-27T06:34:37Z</dcterms:modified>
</cp:coreProperties>
</file>